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02ae0243a8bdde0/Documentos/ESTEBAN/PLANTILLAS/"/>
    </mc:Choice>
  </mc:AlternateContent>
  <xr:revisionPtr revIDLastSave="734" documentId="13_ncr:1_{B188109F-2EC0-4574-800F-5505AA324D8F}" xr6:coauthVersionLast="47" xr6:coauthVersionMax="47" xr10:uidLastSave="{2A2F77AF-8001-4E39-9838-DAE8DD954925}"/>
  <bookViews>
    <workbookView xWindow="-108" yWindow="-108" windowWidth="23256" windowHeight="12456" xr2:uid="{B40BF1DA-042F-4E81-BBC2-39E25C58C9CF}"/>
  </bookViews>
  <sheets>
    <sheet name="BASE" sheetId="1" r:id="rId1"/>
    <sheet name="CONVENIOS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89" i="1" l="1"/>
  <c r="Q289" i="1"/>
  <c r="O290" i="1"/>
  <c r="Q290" i="1"/>
  <c r="O291" i="1"/>
  <c r="Q291" i="1"/>
  <c r="O292" i="1"/>
  <c r="Q292" i="1"/>
  <c r="O293" i="1"/>
  <c r="Q293" i="1"/>
  <c r="O294" i="1"/>
  <c r="Q294" i="1"/>
  <c r="O295" i="1"/>
  <c r="Q295" i="1"/>
  <c r="O296" i="1"/>
  <c r="Q296" i="1"/>
  <c r="O297" i="1"/>
  <c r="Q297" i="1"/>
  <c r="O298" i="1"/>
  <c r="Q298" i="1"/>
  <c r="O299" i="1"/>
  <c r="Q299" i="1"/>
  <c r="O300" i="1"/>
  <c r="Q300" i="1"/>
  <c r="O301" i="1"/>
  <c r="Q301" i="1"/>
  <c r="O302" i="1"/>
  <c r="Q302" i="1"/>
  <c r="O303" i="1"/>
  <c r="Q303" i="1"/>
  <c r="O304" i="1"/>
  <c r="Q304" i="1"/>
  <c r="O305" i="1"/>
  <c r="Q305" i="1"/>
  <c r="O306" i="1"/>
  <c r="Q306" i="1"/>
  <c r="O307" i="1"/>
  <c r="Q307" i="1"/>
  <c r="O308" i="1"/>
  <c r="Q308" i="1"/>
  <c r="O309" i="1"/>
  <c r="Q309" i="1"/>
  <c r="O310" i="1"/>
  <c r="Q310" i="1"/>
  <c r="O311" i="1"/>
  <c r="Q311" i="1"/>
  <c r="O312" i="1"/>
  <c r="Q312" i="1"/>
  <c r="O313" i="1"/>
  <c r="Q313" i="1"/>
  <c r="O314" i="1"/>
  <c r="Q314" i="1"/>
  <c r="O315" i="1"/>
  <c r="Q315" i="1"/>
  <c r="O316" i="1"/>
  <c r="Q316" i="1"/>
  <c r="O317" i="1"/>
  <c r="Q317" i="1"/>
  <c r="O318" i="1"/>
  <c r="Q318" i="1"/>
  <c r="O319" i="1"/>
  <c r="Q319" i="1"/>
  <c r="O320" i="1"/>
  <c r="Q320" i="1"/>
  <c r="O321" i="1"/>
  <c r="Q321" i="1"/>
  <c r="O322" i="1"/>
  <c r="Q322" i="1"/>
  <c r="O323" i="1"/>
  <c r="Q323" i="1"/>
  <c r="O324" i="1"/>
  <c r="Q324" i="1"/>
  <c r="O325" i="1"/>
  <c r="Q325" i="1"/>
  <c r="O326" i="1"/>
  <c r="Q326" i="1"/>
  <c r="O327" i="1"/>
  <c r="Q327" i="1"/>
  <c r="O328" i="1"/>
  <c r="Q328" i="1"/>
  <c r="O329" i="1"/>
  <c r="Q329" i="1"/>
  <c r="O330" i="1"/>
  <c r="Q330" i="1"/>
  <c r="O331" i="1"/>
  <c r="Q331" i="1"/>
  <c r="O332" i="1"/>
  <c r="Q332" i="1"/>
  <c r="O333" i="1"/>
  <c r="Q333" i="1"/>
  <c r="O334" i="1"/>
  <c r="Q334" i="1"/>
  <c r="O335" i="1"/>
  <c r="Q335" i="1"/>
  <c r="O336" i="1"/>
  <c r="Q336" i="1"/>
  <c r="O337" i="1"/>
  <c r="Q337" i="1"/>
  <c r="O338" i="1"/>
  <c r="Q338" i="1"/>
  <c r="O339" i="1"/>
  <c r="Q339" i="1"/>
  <c r="O340" i="1"/>
  <c r="Q340" i="1"/>
  <c r="O341" i="1"/>
  <c r="Q341" i="1"/>
  <c r="O342" i="1"/>
  <c r="Q342" i="1"/>
  <c r="O343" i="1"/>
  <c r="Q343" i="1"/>
  <c r="O273" i="1"/>
  <c r="Q273" i="1"/>
  <c r="O274" i="1"/>
  <c r="Q274" i="1"/>
  <c r="O275" i="1"/>
  <c r="Q275" i="1"/>
  <c r="O276" i="1"/>
  <c r="Q276" i="1"/>
  <c r="O277" i="1"/>
  <c r="Q277" i="1"/>
  <c r="O278" i="1"/>
  <c r="Q278" i="1"/>
  <c r="O279" i="1"/>
  <c r="Q279" i="1"/>
  <c r="O280" i="1"/>
  <c r="Q280" i="1"/>
  <c r="O281" i="1"/>
  <c r="Q281" i="1"/>
  <c r="O282" i="1"/>
  <c r="Q282" i="1"/>
  <c r="O283" i="1"/>
  <c r="Q283" i="1"/>
  <c r="O284" i="1"/>
  <c r="Q284" i="1"/>
  <c r="O285" i="1"/>
  <c r="Q285" i="1"/>
  <c r="O286" i="1"/>
  <c r="Q286" i="1"/>
  <c r="O287" i="1"/>
  <c r="Q287" i="1"/>
  <c r="O288" i="1"/>
  <c r="Q288" i="1"/>
  <c r="O236" i="1"/>
  <c r="Q236" i="1"/>
  <c r="O237" i="1"/>
  <c r="Q237" i="1"/>
  <c r="O238" i="1"/>
  <c r="Q238" i="1"/>
  <c r="O239" i="1"/>
  <c r="Q239" i="1"/>
  <c r="O240" i="1"/>
  <c r="Q240" i="1"/>
  <c r="O241" i="1"/>
  <c r="Q241" i="1"/>
  <c r="O242" i="1"/>
  <c r="Q242" i="1"/>
  <c r="O243" i="1"/>
  <c r="Q243" i="1"/>
  <c r="O244" i="1"/>
  <c r="Q244" i="1"/>
  <c r="O245" i="1"/>
  <c r="Q245" i="1"/>
  <c r="O246" i="1"/>
  <c r="Q246" i="1"/>
  <c r="O247" i="1"/>
  <c r="Q247" i="1"/>
  <c r="O248" i="1"/>
  <c r="Q248" i="1"/>
  <c r="O249" i="1"/>
  <c r="Q249" i="1"/>
  <c r="O250" i="1"/>
  <c r="Q250" i="1"/>
  <c r="O251" i="1"/>
  <c r="Q251" i="1"/>
  <c r="O252" i="1"/>
  <c r="Q252" i="1"/>
  <c r="O253" i="1"/>
  <c r="Q253" i="1"/>
  <c r="O254" i="1"/>
  <c r="Q254" i="1"/>
  <c r="O255" i="1"/>
  <c r="Q255" i="1"/>
  <c r="O256" i="1"/>
  <c r="Q256" i="1"/>
  <c r="O257" i="1"/>
  <c r="Q257" i="1"/>
  <c r="O258" i="1"/>
  <c r="Q258" i="1"/>
  <c r="O259" i="1"/>
  <c r="Q259" i="1"/>
  <c r="O260" i="1"/>
  <c r="Q260" i="1"/>
  <c r="O261" i="1"/>
  <c r="Q261" i="1"/>
  <c r="O262" i="1"/>
  <c r="Q262" i="1"/>
  <c r="O263" i="1"/>
  <c r="Q263" i="1"/>
  <c r="O264" i="1"/>
  <c r="Q264" i="1"/>
  <c r="O265" i="1"/>
  <c r="Q265" i="1"/>
  <c r="O266" i="1"/>
  <c r="Q266" i="1"/>
  <c r="O267" i="1"/>
  <c r="Q267" i="1"/>
  <c r="O268" i="1"/>
  <c r="Q268" i="1"/>
  <c r="O269" i="1"/>
  <c r="Q269" i="1"/>
  <c r="O270" i="1"/>
  <c r="Q270" i="1"/>
  <c r="O271" i="1"/>
  <c r="Q271" i="1"/>
  <c r="O272" i="1"/>
  <c r="Q272" i="1"/>
  <c r="Q235" i="1"/>
  <c r="O235" i="1"/>
  <c r="Q234" i="1"/>
  <c r="O234" i="1"/>
  <c r="Q233" i="1"/>
  <c r="O233" i="1"/>
  <c r="Q232" i="1"/>
  <c r="O232" i="1"/>
  <c r="Q231" i="1"/>
  <c r="O231" i="1"/>
  <c r="Q230" i="1"/>
  <c r="O230" i="1"/>
  <c r="Q229" i="1"/>
  <c r="O229" i="1"/>
  <c r="Q228" i="1"/>
  <c r="O228" i="1"/>
  <c r="Q227" i="1"/>
  <c r="O227" i="1"/>
  <c r="Q226" i="1"/>
  <c r="O226" i="1"/>
  <c r="Q225" i="1"/>
  <c r="O225" i="1"/>
  <c r="Q224" i="1"/>
  <c r="O224" i="1"/>
  <c r="Q223" i="1"/>
  <c r="O223" i="1"/>
  <c r="Q222" i="1"/>
  <c r="O222" i="1"/>
  <c r="Q221" i="1"/>
  <c r="O221" i="1"/>
  <c r="Q220" i="1"/>
  <c r="O220" i="1"/>
  <c r="Q219" i="1"/>
  <c r="O219" i="1"/>
  <c r="Q218" i="1"/>
  <c r="O218" i="1"/>
  <c r="Q217" i="1"/>
  <c r="O217" i="1"/>
  <c r="Q216" i="1"/>
  <c r="O216" i="1"/>
  <c r="Q215" i="1"/>
  <c r="O215" i="1"/>
  <c r="Q214" i="1"/>
  <c r="O214" i="1"/>
  <c r="Q213" i="1"/>
  <c r="O213" i="1"/>
  <c r="Q212" i="1"/>
  <c r="O212" i="1"/>
  <c r="Q211" i="1"/>
  <c r="O211" i="1"/>
  <c r="Q210" i="1"/>
  <c r="O210" i="1"/>
  <c r="Q209" i="1"/>
  <c r="O209" i="1"/>
  <c r="Q208" i="1"/>
  <c r="O208" i="1"/>
  <c r="Q207" i="1"/>
  <c r="O207" i="1"/>
  <c r="Q206" i="1"/>
  <c r="O206" i="1"/>
  <c r="Q205" i="1"/>
  <c r="O205" i="1"/>
  <c r="Q204" i="1"/>
  <c r="O204" i="1"/>
  <c r="Q203" i="1"/>
  <c r="O203" i="1"/>
  <c r="Q202" i="1"/>
  <c r="O202" i="1"/>
  <c r="Q201" i="1"/>
  <c r="O201" i="1"/>
  <c r="Q200" i="1"/>
  <c r="O200" i="1"/>
  <c r="Q199" i="1"/>
  <c r="O199" i="1"/>
  <c r="Q198" i="1"/>
  <c r="O198" i="1"/>
  <c r="Q197" i="1"/>
  <c r="O197" i="1"/>
  <c r="Q196" i="1"/>
  <c r="O196" i="1"/>
  <c r="Q195" i="1"/>
  <c r="O195" i="1"/>
  <c r="Q194" i="1"/>
  <c r="O194" i="1"/>
  <c r="Q193" i="1"/>
  <c r="O193" i="1"/>
  <c r="Q192" i="1"/>
  <c r="O192" i="1"/>
  <c r="Q191" i="1"/>
  <c r="O191" i="1"/>
  <c r="Q190" i="1"/>
  <c r="O190" i="1"/>
  <c r="Q189" i="1"/>
  <c r="O189" i="1"/>
  <c r="Q188" i="1"/>
  <c r="O188" i="1"/>
  <c r="Q187" i="1"/>
  <c r="O187" i="1"/>
  <c r="Q186" i="1"/>
  <c r="O186" i="1"/>
  <c r="Q184" i="1"/>
  <c r="O184" i="1"/>
  <c r="Q183" i="1"/>
  <c r="O183" i="1"/>
  <c r="Q182" i="1"/>
  <c r="O182" i="1"/>
  <c r="Q181" i="1"/>
  <c r="O181" i="1"/>
  <c r="Q180" i="1"/>
  <c r="O180" i="1"/>
  <c r="Q179" i="1"/>
  <c r="O179" i="1"/>
  <c r="Q178" i="1"/>
  <c r="O178" i="1"/>
  <c r="Q177" i="1"/>
  <c r="O177" i="1"/>
  <c r="Q176" i="1"/>
  <c r="O176" i="1"/>
  <c r="Q175" i="1"/>
  <c r="O175" i="1"/>
  <c r="Q174" i="1"/>
  <c r="O174" i="1"/>
  <c r="Q173" i="1"/>
  <c r="O173" i="1"/>
  <c r="Q172" i="1"/>
  <c r="O172" i="1"/>
  <c r="Q171" i="1"/>
  <c r="O171" i="1"/>
  <c r="Q170" i="1"/>
  <c r="O170" i="1"/>
  <c r="Q169" i="1"/>
  <c r="O169" i="1"/>
  <c r="Q168" i="1"/>
  <c r="O168" i="1"/>
  <c r="Q167" i="1"/>
  <c r="O167" i="1"/>
  <c r="Q166" i="1"/>
  <c r="O166" i="1"/>
  <c r="Q165" i="1"/>
  <c r="O165" i="1"/>
  <c r="Q164" i="1"/>
  <c r="O164" i="1"/>
  <c r="Q163" i="1"/>
  <c r="O163" i="1"/>
  <c r="Q162" i="1"/>
  <c r="O162" i="1"/>
  <c r="Q161" i="1"/>
  <c r="O161" i="1"/>
  <c r="Q160" i="1"/>
  <c r="O160" i="1"/>
  <c r="Q159" i="1"/>
  <c r="O159" i="1"/>
  <c r="Q158" i="1"/>
  <c r="O158" i="1"/>
  <c r="Q157" i="1"/>
  <c r="O157" i="1"/>
  <c r="Q156" i="1"/>
  <c r="O156" i="1"/>
  <c r="Q155" i="1"/>
  <c r="O155" i="1"/>
  <c r="Q154" i="1"/>
  <c r="O154" i="1"/>
  <c r="Q153" i="1"/>
  <c r="O153" i="1"/>
  <c r="Q152" i="1"/>
  <c r="O152" i="1"/>
  <c r="Q151" i="1"/>
  <c r="O151" i="1"/>
  <c r="Q150" i="1"/>
  <c r="O150" i="1"/>
  <c r="Q149" i="1"/>
  <c r="O149" i="1"/>
  <c r="Q148" i="1"/>
  <c r="O148" i="1"/>
  <c r="Q147" i="1"/>
  <c r="O147" i="1"/>
  <c r="Q146" i="1"/>
  <c r="O146" i="1"/>
  <c r="Q145" i="1"/>
  <c r="O145" i="1"/>
  <c r="Q144" i="1"/>
  <c r="O144" i="1"/>
  <c r="Q143" i="1"/>
  <c r="O143" i="1"/>
  <c r="Q142" i="1"/>
  <c r="O142" i="1"/>
  <c r="Q141" i="1"/>
  <c r="O141" i="1"/>
  <c r="Q140" i="1"/>
  <c r="O140" i="1"/>
  <c r="Q139" i="1"/>
  <c r="O139" i="1"/>
  <c r="Q138" i="1"/>
  <c r="O138" i="1"/>
  <c r="Q137" i="1"/>
  <c r="O137" i="1"/>
  <c r="Q136" i="1"/>
  <c r="O136" i="1"/>
  <c r="Q135" i="1"/>
  <c r="O135" i="1"/>
  <c r="Q134" i="1"/>
  <c r="O134" i="1"/>
  <c r="Q133" i="1"/>
  <c r="O133" i="1"/>
  <c r="Q132" i="1"/>
  <c r="O132" i="1"/>
  <c r="Q131" i="1"/>
  <c r="O131" i="1"/>
  <c r="Q130" i="1"/>
  <c r="O130" i="1"/>
  <c r="Q129" i="1"/>
  <c r="O129" i="1"/>
  <c r="Q128" i="1"/>
  <c r="O128" i="1"/>
  <c r="Q127" i="1"/>
  <c r="O127" i="1"/>
  <c r="Q126" i="1"/>
  <c r="O126" i="1"/>
  <c r="Q125" i="1"/>
  <c r="O125" i="1"/>
  <c r="Q124" i="1"/>
  <c r="O124" i="1"/>
  <c r="Q123" i="1"/>
  <c r="O123" i="1"/>
  <c r="Q122" i="1"/>
  <c r="O122" i="1"/>
  <c r="Q121" i="1"/>
  <c r="O121" i="1"/>
  <c r="Q120" i="1"/>
  <c r="O120" i="1"/>
  <c r="Q119" i="1"/>
  <c r="O119" i="1"/>
  <c r="Q118" i="1"/>
  <c r="O118" i="1"/>
  <c r="Q117" i="1"/>
  <c r="O117" i="1"/>
  <c r="Q116" i="1"/>
  <c r="O116" i="1"/>
  <c r="Q115" i="1"/>
  <c r="O115" i="1"/>
  <c r="Q114" i="1"/>
  <c r="O114" i="1"/>
  <c r="Q113" i="1"/>
  <c r="O113" i="1"/>
  <c r="Q112" i="1"/>
  <c r="O112" i="1"/>
  <c r="Q111" i="1"/>
  <c r="O111" i="1"/>
  <c r="Q110" i="1"/>
  <c r="O110" i="1"/>
  <c r="Q109" i="1"/>
  <c r="O109" i="1"/>
  <c r="Q108" i="1"/>
  <c r="O108" i="1"/>
  <c r="Q107" i="1"/>
  <c r="O107" i="1"/>
  <c r="Q106" i="1"/>
  <c r="O106" i="1"/>
  <c r="Q105" i="1"/>
  <c r="O105" i="1"/>
  <c r="Q104" i="1"/>
  <c r="O104" i="1"/>
  <c r="Q103" i="1"/>
  <c r="O103" i="1"/>
  <c r="Q102" i="1"/>
  <c r="O102" i="1"/>
  <c r="Q101" i="1"/>
  <c r="O101" i="1"/>
  <c r="Q100" i="1"/>
  <c r="O100" i="1"/>
  <c r="Q99" i="1"/>
  <c r="O99" i="1"/>
  <c r="Q98" i="1"/>
  <c r="O98" i="1"/>
  <c r="Q97" i="1"/>
  <c r="O97" i="1"/>
  <c r="Q96" i="1"/>
  <c r="O96" i="1"/>
  <c r="Q95" i="1"/>
  <c r="O95" i="1"/>
  <c r="Q94" i="1"/>
  <c r="O94" i="1"/>
  <c r="Q93" i="1"/>
  <c r="O93" i="1"/>
  <c r="Q92" i="1"/>
  <c r="O92" i="1"/>
  <c r="Q91" i="1"/>
  <c r="O91" i="1"/>
  <c r="Q90" i="1"/>
  <c r="O90" i="1"/>
  <c r="Q89" i="1"/>
  <c r="O89" i="1"/>
  <c r="Q88" i="1"/>
  <c r="O88" i="1"/>
  <c r="Q87" i="1"/>
  <c r="O87" i="1"/>
  <c r="Q86" i="1"/>
  <c r="O86" i="1"/>
  <c r="Q85" i="1"/>
  <c r="O85" i="1"/>
  <c r="Q84" i="1"/>
  <c r="O84" i="1"/>
  <c r="Q83" i="1"/>
  <c r="O83" i="1"/>
  <c r="Q82" i="1"/>
  <c r="O82" i="1"/>
  <c r="Q81" i="1"/>
  <c r="O81" i="1"/>
  <c r="Q80" i="1"/>
  <c r="O80" i="1"/>
  <c r="Q79" i="1"/>
  <c r="O79" i="1"/>
  <c r="Q78" i="1"/>
  <c r="O78" i="1"/>
  <c r="Q77" i="1"/>
  <c r="O77" i="1"/>
  <c r="Q76" i="1"/>
  <c r="O76" i="1"/>
  <c r="Q75" i="1"/>
  <c r="O75" i="1"/>
  <c r="Q74" i="1"/>
  <c r="O74" i="1"/>
  <c r="Q73" i="1"/>
  <c r="O73" i="1"/>
  <c r="Q72" i="1"/>
  <c r="O72" i="1"/>
  <c r="Q71" i="1"/>
  <c r="O71" i="1"/>
  <c r="Q70" i="1"/>
  <c r="O70" i="1"/>
  <c r="Q69" i="1"/>
  <c r="O69" i="1"/>
  <c r="Q68" i="1"/>
  <c r="O68" i="1"/>
  <c r="Q67" i="1"/>
  <c r="O67" i="1"/>
  <c r="Q66" i="1"/>
  <c r="O66" i="1"/>
  <c r="Q65" i="1"/>
  <c r="O65" i="1"/>
  <c r="Q64" i="1"/>
  <c r="O64" i="1"/>
  <c r="Q63" i="1"/>
  <c r="O63" i="1"/>
  <c r="Q62" i="1"/>
  <c r="O62" i="1"/>
  <c r="Q61" i="1"/>
  <c r="O61" i="1"/>
  <c r="Q60" i="1"/>
  <c r="O60" i="1"/>
  <c r="Q59" i="1"/>
  <c r="O59" i="1"/>
  <c r="Q58" i="1"/>
  <c r="O58" i="1"/>
  <c r="Q57" i="1"/>
  <c r="O57" i="1"/>
  <c r="Q56" i="1"/>
  <c r="O56" i="1"/>
  <c r="Q55" i="1"/>
  <c r="O55" i="1"/>
  <c r="Q54" i="1"/>
  <c r="O54" i="1"/>
  <c r="Q53" i="1"/>
  <c r="O53" i="1"/>
  <c r="Q52" i="1"/>
  <c r="O52" i="1"/>
  <c r="Q51" i="1"/>
  <c r="O51" i="1"/>
  <c r="Q50" i="1"/>
  <c r="O50" i="1"/>
  <c r="Q49" i="1"/>
  <c r="O49" i="1"/>
  <c r="Q48" i="1"/>
  <c r="O48" i="1"/>
  <c r="Q47" i="1"/>
  <c r="O47" i="1"/>
  <c r="Q46" i="1"/>
  <c r="O46" i="1"/>
  <c r="Q45" i="1"/>
  <c r="O45" i="1"/>
  <c r="Q44" i="1"/>
  <c r="O44" i="1"/>
  <c r="Q43" i="1"/>
  <c r="O43" i="1"/>
  <c r="Q42" i="1"/>
  <c r="O42" i="1"/>
  <c r="Q41" i="1"/>
  <c r="O41" i="1"/>
  <c r="Q40" i="1"/>
  <c r="O40" i="1"/>
  <c r="Q39" i="1"/>
  <c r="O39" i="1"/>
  <c r="Q38" i="1"/>
  <c r="O38" i="1"/>
  <c r="Q37" i="1"/>
  <c r="O37" i="1"/>
  <c r="Q36" i="1"/>
  <c r="O36" i="1"/>
  <c r="Q35" i="1"/>
  <c r="O35" i="1"/>
  <c r="Q34" i="1"/>
  <c r="O34" i="1"/>
  <c r="Q33" i="1"/>
  <c r="O33" i="1"/>
  <c r="Q32" i="1"/>
  <c r="O32" i="1"/>
  <c r="Q31" i="1"/>
  <c r="O31" i="1"/>
  <c r="Q30" i="1"/>
  <c r="O30" i="1"/>
  <c r="Q29" i="1"/>
  <c r="O29" i="1"/>
  <c r="Q28" i="1"/>
  <c r="O28" i="1"/>
  <c r="Q27" i="1"/>
  <c r="O27" i="1"/>
  <c r="Q26" i="1"/>
  <c r="O26" i="1"/>
  <c r="Q25" i="1"/>
  <c r="O25" i="1"/>
  <c r="Q24" i="1"/>
  <c r="O24" i="1"/>
  <c r="Q23" i="1"/>
  <c r="O23" i="1"/>
  <c r="Q22" i="1"/>
  <c r="O22" i="1"/>
  <c r="Q21" i="1"/>
  <c r="O21" i="1"/>
  <c r="Q20" i="1"/>
  <c r="O20" i="1"/>
  <c r="Q19" i="1"/>
  <c r="O19" i="1"/>
  <c r="Q18" i="1"/>
  <c r="O18" i="1"/>
  <c r="Q17" i="1"/>
  <c r="O17" i="1"/>
  <c r="Q16" i="1"/>
  <c r="O16" i="1"/>
  <c r="Q15" i="1"/>
  <c r="O15" i="1"/>
  <c r="Q14" i="1"/>
  <c r="O14" i="1"/>
  <c r="Q13" i="1"/>
  <c r="O13" i="1"/>
  <c r="Q12" i="1"/>
  <c r="O12" i="1"/>
  <c r="Q11" i="1"/>
  <c r="O11" i="1"/>
  <c r="Q10" i="1"/>
  <c r="O10" i="1"/>
  <c r="Q9" i="1"/>
  <c r="O9" i="1"/>
  <c r="Q8" i="1"/>
  <c r="O8" i="1"/>
  <c r="Q7" i="1"/>
  <c r="O7" i="1"/>
  <c r="Q6" i="1"/>
  <c r="O6" i="1"/>
  <c r="Q5" i="1"/>
  <c r="O5" i="1"/>
  <c r="Q4" i="1"/>
  <c r="O4" i="1"/>
  <c r="O3" i="1"/>
  <c r="Q3" i="1" s="1"/>
</calcChain>
</file>

<file path=xl/sharedStrings.xml><?xml version="1.0" encoding="utf-8"?>
<sst xmlns="http://schemas.openxmlformats.org/spreadsheetml/2006/main" count="1247" uniqueCount="497">
  <si>
    <t>MONBRE Y APELLIDO</t>
  </si>
  <si>
    <t>MANT 1</t>
  </si>
  <si>
    <t>MANT 2</t>
  </si>
  <si>
    <t>MANT 3</t>
  </si>
  <si>
    <t>MANT 4</t>
  </si>
  <si>
    <t>MANT 5</t>
  </si>
  <si>
    <t>Columna2</t>
  </si>
  <si>
    <t>RUT</t>
  </si>
  <si>
    <t>AHORRO  1</t>
  </si>
  <si>
    <t>AHORRO  2</t>
  </si>
  <si>
    <t>AHORRO  3</t>
  </si>
  <si>
    <t>AHORRO  4</t>
  </si>
  <si>
    <t>AHORRO  5</t>
  </si>
  <si>
    <t>HABER AHORRO</t>
  </si>
  <si>
    <t>CREDITO AHORRO</t>
  </si>
  <si>
    <t>SALDO AHORRO</t>
  </si>
  <si>
    <t>NRO. CONVENIO</t>
  </si>
  <si>
    <t>FONO</t>
  </si>
  <si>
    <t>CORREO</t>
  </si>
  <si>
    <t>Columna3</t>
  </si>
  <si>
    <t>Columna4</t>
  </si>
  <si>
    <t>CAR SERVICE</t>
  </si>
  <si>
    <t>SI</t>
  </si>
  <si>
    <t>NO</t>
  </si>
  <si>
    <t>PROGRAMA AHORRO PLUS</t>
  </si>
  <si>
    <t>ROLANDO DI GREGORIO</t>
  </si>
  <si>
    <t>*</t>
  </si>
  <si>
    <t>CLUB DEPORTIVO NACIONAL</t>
  </si>
  <si>
    <t>BOMBEROS DE ALGARROBO</t>
  </si>
  <si>
    <t>CABLE MAGICO</t>
  </si>
  <si>
    <t>ALTO DE MIRASOL I</t>
  </si>
  <si>
    <t>ALTO DE MIRASOL II</t>
  </si>
  <si>
    <t>ARENA MARIS</t>
  </si>
  <si>
    <t>COSTA ALGARROBO /LOS OLIVOS</t>
  </si>
  <si>
    <t>ALTO DE SAN ALFONSO</t>
  </si>
  <si>
    <t>LAGUNA BAHIA</t>
  </si>
  <si>
    <t>CLUB DE ADULTO MAYOR MIRASOL</t>
  </si>
  <si>
    <t>BAHIA DE ROSAS </t>
  </si>
  <si>
    <t>BOSQUE DE LA CANDELARIA</t>
  </si>
  <si>
    <t>QUEBRADAS LA CANDELARIA</t>
  </si>
  <si>
    <t>LOS JARDINES DE LA CANDELARIA</t>
  </si>
  <si>
    <t>COMUNIDAD LA CAPILLA</t>
  </si>
  <si>
    <t>26934878K</t>
  </si>
  <si>
    <t>RAFAEL LEONARDO ZUÑIGA</t>
  </si>
  <si>
    <t>WALTER CAPELLI</t>
  </si>
  <si>
    <t>JAVIERA GIDI</t>
  </si>
  <si>
    <t>CLAUDIA ANDREA MUÑOZ CID</t>
  </si>
  <si>
    <t>EVELYN GUZMAN</t>
  </si>
  <si>
    <t>PUNTA FRAILE</t>
  </si>
  <si>
    <t>PINARES DE CANELILLO</t>
  </si>
  <si>
    <t>SAN ALFONSO DEL MAR</t>
  </si>
  <si>
    <t>ALARMAS CAMPAÑA</t>
  </si>
  <si>
    <t>ALCAZAR DE TORRES</t>
  </si>
  <si>
    <t>SONIA ROMAN</t>
  </si>
  <si>
    <t>LEONCIO LOYOLA</t>
  </si>
  <si>
    <t>OSCAR FAUNES</t>
  </si>
  <si>
    <t>MARGARITA BENVENUTO</t>
  </si>
  <si>
    <t>RUBEN GONZALEZ</t>
  </si>
  <si>
    <t>CAMILA ZAMBELLI</t>
  </si>
  <si>
    <t>EDUARDO ACCHIARDO</t>
  </si>
  <si>
    <t>BARLOVENTO</t>
  </si>
  <si>
    <t xml:space="preserve">GENOA </t>
  </si>
  <si>
    <t>CLUB DE YATES ALGARROBO</t>
  </si>
  <si>
    <t> 39307537</t>
  </si>
  <si>
    <t> 157537148</t>
  </si>
  <si>
    <t> 10201815K</t>
  </si>
  <si>
    <t> 151685625</t>
  </si>
  <si>
    <t> 65426293</t>
  </si>
  <si>
    <t>DYAN GALLEANI</t>
  </si>
  <si>
    <t>GUILLERMO ZUÑIGA</t>
  </si>
  <si>
    <t>ERWIN SUHART</t>
  </si>
  <si>
    <t>VALERIA CATALAN</t>
  </si>
  <si>
    <t>MONICA CRUZ</t>
  </si>
  <si>
    <t>EDUARDO SEPULVEDA</t>
  </si>
  <si>
    <t>DAVID JIMENEZ</t>
  </si>
  <si>
    <t>JOSÉ IGNACIO VEGA</t>
  </si>
  <si>
    <t>MARIA ANGELICA FARIDONI</t>
  </si>
  <si>
    <t>FRANCISCO CANOBRA</t>
  </si>
  <si>
    <t>JOSE ITUARTE</t>
  </si>
  <si>
    <t>JOSE RECABAREN</t>
  </si>
  <si>
    <t>GABRIEL CABEZAS</t>
  </si>
  <si>
    <t>DANIEL URRUTIA</t>
  </si>
  <si>
    <t>PAMELA ABARCA</t>
  </si>
  <si>
    <t>GILBERT CALLIRGOS</t>
  </si>
  <si>
    <t>JORGE CUEVAS</t>
  </si>
  <si>
    <t>RUBI MIRANDA DE LUCA</t>
  </si>
  <si>
    <t>HERNAN ROBERTO GANTES</t>
  </si>
  <si>
    <t> 139907930</t>
  </si>
  <si>
    <t>FELIPE UGALDES</t>
  </si>
  <si>
    <t>MAGNOCLUB</t>
  </si>
  <si>
    <t>IFOSTER</t>
  </si>
  <si>
    <t xml:space="preserve">LAGUNA VISTA </t>
  </si>
  <si>
    <t>AQUILON</t>
  </si>
  <si>
    <t>LOS PITIGÜES</t>
  </si>
  <si>
    <t>VERDURERIA LA VEGUITA</t>
  </si>
  <si>
    <t>VERDURERIA PINO</t>
  </si>
  <si>
    <t>AMASANDERIA SANTA TERESITA</t>
  </si>
  <si>
    <t>PESCADERIA GALEON</t>
  </si>
  <si>
    <t>MARIA VILLAROEL</t>
  </si>
  <si>
    <t>ALEJANDRO  DURAN</t>
  </si>
  <si>
    <t>CRISTOBAL  CASTRO</t>
  </si>
  <si>
    <t>CARLOS ALARCON</t>
  </si>
  <si>
    <t>ANDRES  AREVALO</t>
  </si>
  <si>
    <t>CRISTIAN  MELLA</t>
  </si>
  <si>
    <t>GISELLE LEYTON</t>
  </si>
  <si>
    <t>ANTONIO GARRIDO</t>
  </si>
  <si>
    <t>HECTOS  LARA VERA</t>
  </si>
  <si>
    <t>MARCIA BUSTOS</t>
  </si>
  <si>
    <t>RODRIGO PALMA</t>
  </si>
  <si>
    <t>GUSTAVO  NABALON</t>
  </si>
  <si>
    <t>RODRIGO PALOMINOS</t>
  </si>
  <si>
    <t>GERMANICO BADANI</t>
  </si>
  <si>
    <t>MAURICIO ABRAMOVICH</t>
  </si>
  <si>
    <t>MARCELA CADEMÁRTORI</t>
  </si>
  <si>
    <t>FABIAN OÑATE</t>
  </si>
  <si>
    <t>JUAN GUTIERREZ</t>
  </si>
  <si>
    <t>ESTEBAN RICARDO SAAVEDRA MELLA</t>
  </si>
  <si>
    <t>JOSE RUBIO</t>
  </si>
  <si>
    <t>YENNY OJEDA</t>
  </si>
  <si>
    <t>LORENA  ORTEGA</t>
  </si>
  <si>
    <t>RAMIRO  HERNANDEZ</t>
  </si>
  <si>
    <t>SERGIO  LOPEZ  FUENTES</t>
  </si>
  <si>
    <t>CARLOS  VARGAS</t>
  </si>
  <si>
    <t>RODRIGO HERNANDEZ</t>
  </si>
  <si>
    <t>ALBERTO LEIVA</t>
  </si>
  <si>
    <t>LEONARDO  JIMENEZ</t>
  </si>
  <si>
    <t>ALEJANDRA FERNANDEZ</t>
  </si>
  <si>
    <t>XIMENA GONZALEZ GEREZ</t>
  </si>
  <si>
    <t>HUGO BACHO</t>
  </si>
  <si>
    <t>MANUEL ALVAREZ</t>
  </si>
  <si>
    <t>ANA OLIVOS</t>
  </si>
  <si>
    <t>MARIA PAZ RIOSECO</t>
  </si>
  <si>
    <t>ESTEFANIA RUIZ</t>
  </si>
  <si>
    <t>FRANCISCO FRANJOLA</t>
  </si>
  <si>
    <t>DANIEL PIZARRO</t>
  </si>
  <si>
    <t>MIGUEL REYES</t>
  </si>
  <si>
    <t>DANILO LANDA</t>
  </si>
  <si>
    <t>FABIANA CORTES</t>
  </si>
  <si>
    <t>DOMINGO FALCON</t>
  </si>
  <si>
    <t>CAROLINA SEGOBIA</t>
  </si>
  <si>
    <t>KARINA MERINO</t>
  </si>
  <si>
    <t>DANIEL OSIO</t>
  </si>
  <si>
    <t>CRISTINA  ATHENS</t>
  </si>
  <si>
    <t>SERGIO ALARCON  RUBILAR</t>
  </si>
  <si>
    <t>ANA BENITEZ</t>
  </si>
  <si>
    <t>LUIS  GALAZ</t>
  </si>
  <si>
    <t>DIEGO  ACUÑA</t>
  </si>
  <si>
    <t>PRISCILLA VALDES</t>
  </si>
  <si>
    <t>ALEJANDRO  VALENZUELA</t>
  </si>
  <si>
    <t>JAIME CIFUENTES</t>
  </si>
  <si>
    <t>CAMILO LATORRE</t>
  </si>
  <si>
    <t>ALEJANDRO TAHA</t>
  </si>
  <si>
    <t>CLODOMIRO VALENCIA</t>
  </si>
  <si>
    <t>SUSANA SAKURADA</t>
  </si>
  <si>
    <t>DANIELA IVONNE ESPINOZA MALDONADO</t>
  </si>
  <si>
    <t>FERNANDO  PICHUNANTE</t>
  </si>
  <si>
    <t>JOSE CARVAJAL</t>
  </si>
  <si>
    <t>KATHERINE SILVA</t>
  </si>
  <si>
    <t>FRANCISCO AGUILERA  PLAZA</t>
  </si>
  <si>
    <t>OSCAR TAPIA</t>
  </si>
  <si>
    <t>MARCO MARTINIC</t>
  </si>
  <si>
    <t>PATRICIA DURAN</t>
  </si>
  <si>
    <t>OLGA ARANDA</t>
  </si>
  <si>
    <t>JORGE REQUENA</t>
  </si>
  <si>
    <t>CESAR MUÑOZ</t>
  </si>
  <si>
    <t>CLAUDIO PARRA</t>
  </si>
  <si>
    <t>RODRIGO  CARRASCO</t>
  </si>
  <si>
    <t>CAROLINA MANFREDI</t>
  </si>
  <si>
    <t>DANIEL COÑOEPAN</t>
  </si>
  <si>
    <t>PABLO SANCHEZ</t>
  </si>
  <si>
    <t>MARGARITA PEZOA</t>
  </si>
  <si>
    <t>MARIA LADINO</t>
  </si>
  <si>
    <t>IGNACIA MELINO</t>
  </si>
  <si>
    <t>FELIPE ROBLES</t>
  </si>
  <si>
    <t>ROLANDO VALERIO OROZCO BETANCOURT</t>
  </si>
  <si>
    <t>JAVIER SCHWENCKE</t>
  </si>
  <si>
    <t>FELIPE MUÑOZ</t>
  </si>
  <si>
    <t>OTTO GRAWE</t>
  </si>
  <si>
    <t>AGUSTIN DIAZ</t>
  </si>
  <si>
    <t>GONZALO BAUS</t>
  </si>
  <si>
    <t>NATALIA OYARZUN</t>
  </si>
  <si>
    <t>MIGUEL ORTEGA</t>
  </si>
  <si>
    <t>CRISTIAN HIDALGO FIGUEROA</t>
  </si>
  <si>
    <t>ALEJANDRO PEREZ</t>
  </si>
  <si>
    <t>MARIO PUYO</t>
  </si>
  <si>
    <t>HERCULES  SOUZA</t>
  </si>
  <si>
    <t>IVAN  GUZMAN</t>
  </si>
  <si>
    <t>RODRIGO MESSINA</t>
  </si>
  <si>
    <t>RODRIGO  PARIZ</t>
  </si>
  <si>
    <t>FABIAN  MADARIAGA</t>
  </si>
  <si>
    <t>RODRIGO GUAIQUIL</t>
  </si>
  <si>
    <t>NATALIA BRIONES</t>
  </si>
  <si>
    <t>JESSICA  RIBERI</t>
  </si>
  <si>
    <t>DANIEL  CAMPOS</t>
  </si>
  <si>
    <t>ALEJANDRO QUIJADA</t>
  </si>
  <si>
    <t>EXITO  TORRES</t>
  </si>
  <si>
    <t>FELIPE ACUÑA</t>
  </si>
  <si>
    <t>FRANCISCO MATA</t>
  </si>
  <si>
    <t>PAMELA PAREDES BLAU</t>
  </si>
  <si>
    <t>JORGE GABRIEL MARIN MIRANDA</t>
  </si>
  <si>
    <t>LUCAS FERRER</t>
  </si>
  <si>
    <t>MARCELO CERDA</t>
  </si>
  <si>
    <t>NIBALDO HERNANDEZ</t>
  </si>
  <si>
    <t>ANDRA  RODRIGUEZ</t>
  </si>
  <si>
    <t>ROCIO  MENARES</t>
  </si>
  <si>
    <t>JAVIER CORDERO</t>
  </si>
  <si>
    <t>MARIO VIDAL</t>
  </si>
  <si>
    <t>MACARENA SALAMANCA</t>
  </si>
  <si>
    <t>GERSON  POBLETE</t>
  </si>
  <si>
    <t>SANDRA PAOLA CASTRO NOLLI</t>
  </si>
  <si>
    <t>RODRIGO BUSTOS</t>
  </si>
  <si>
    <t>MARIELA NUÑEZ</t>
  </si>
  <si>
    <t>CONIE BASUALTO GONZALEZ</t>
  </si>
  <si>
    <t>CESAR DIAZ</t>
  </si>
  <si>
    <t>RODRIGO  MARTINEZ</t>
  </si>
  <si>
    <t>SERGIO GALINDO BAEZA</t>
  </si>
  <si>
    <t>10838171K</t>
  </si>
  <si>
    <t>6382030K</t>
  </si>
  <si>
    <t>23806306K</t>
  </si>
  <si>
    <t>12905803k</t>
  </si>
  <si>
    <t>7162952K</t>
  </si>
  <si>
    <t>21611826K</t>
  </si>
  <si>
    <t>5006817K</t>
  </si>
  <si>
    <t>21112025</t>
  </si>
  <si>
    <t>PLAZACARSERVICE</t>
  </si>
  <si>
    <t>OK</t>
  </si>
  <si>
    <t>18112025</t>
  </si>
  <si>
    <t>24112025</t>
  </si>
  <si>
    <t>25112025</t>
  </si>
  <si>
    <t>26112025</t>
  </si>
  <si>
    <t>28112025</t>
  </si>
  <si>
    <t>29112025</t>
  </si>
  <si>
    <t>1112025</t>
  </si>
  <si>
    <t>1122025</t>
  </si>
  <si>
    <t>2122025</t>
  </si>
  <si>
    <t>4122025</t>
  </si>
  <si>
    <t>5122025</t>
  </si>
  <si>
    <t>8122025</t>
  </si>
  <si>
    <t>9122025</t>
  </si>
  <si>
    <t>10122025</t>
  </si>
  <si>
    <t>13122025</t>
  </si>
  <si>
    <t>11122025</t>
  </si>
  <si>
    <t>3122025</t>
  </si>
  <si>
    <t>19122025</t>
  </si>
  <si>
    <t>8012026</t>
  </si>
  <si>
    <t>7012026</t>
  </si>
  <si>
    <t>5012026</t>
  </si>
  <si>
    <t>2012026</t>
  </si>
  <si>
    <t>31122025</t>
  </si>
  <si>
    <t>30122025</t>
  </si>
  <si>
    <t>29122025</t>
  </si>
  <si>
    <t>26122025</t>
  </si>
  <si>
    <t>23122025</t>
  </si>
  <si>
    <t>20122025</t>
  </si>
  <si>
    <t>12172025</t>
  </si>
  <si>
    <t>17122025</t>
  </si>
  <si>
    <t>15122025</t>
  </si>
  <si>
    <t>20022026</t>
  </si>
  <si>
    <t>17022026</t>
  </si>
  <si>
    <t>9022026</t>
  </si>
  <si>
    <t>7022026</t>
  </si>
  <si>
    <t>27012026</t>
  </si>
  <si>
    <t>24022026</t>
  </si>
  <si>
    <t>23022026</t>
  </si>
  <si>
    <t>21022026</t>
  </si>
  <si>
    <t>19022026</t>
  </si>
  <si>
    <t>18022026</t>
  </si>
  <si>
    <t>16022026</t>
  </si>
  <si>
    <t>10022026</t>
  </si>
  <si>
    <t>6022026</t>
  </si>
  <si>
    <t>5022026</t>
  </si>
  <si>
    <t>3022026</t>
  </si>
  <si>
    <t>2022026</t>
  </si>
  <si>
    <t>31012026</t>
  </si>
  <si>
    <t>30012026</t>
  </si>
  <si>
    <t>29012026</t>
  </si>
  <si>
    <t>28012026</t>
  </si>
  <si>
    <t>26012026</t>
  </si>
  <si>
    <t>24012026</t>
  </si>
  <si>
    <t>23012026</t>
  </si>
  <si>
    <t>22012026</t>
  </si>
  <si>
    <t>21012026</t>
  </si>
  <si>
    <t>20012026</t>
  </si>
  <si>
    <t>19012026</t>
  </si>
  <si>
    <t>17012026</t>
  </si>
  <si>
    <t>16012026</t>
  </si>
  <si>
    <t>14012026</t>
  </si>
  <si>
    <t>15012026</t>
  </si>
  <si>
    <t>13012026</t>
  </si>
  <si>
    <t>12012026</t>
  </si>
  <si>
    <t>10012026</t>
  </si>
  <si>
    <t>09012026</t>
  </si>
  <si>
    <t>07012026</t>
  </si>
  <si>
    <t>06012026</t>
  </si>
  <si>
    <t>07022026</t>
  </si>
  <si>
    <t>06022026</t>
  </si>
  <si>
    <t>05022026</t>
  </si>
  <si>
    <t>03022026</t>
  </si>
  <si>
    <t>02022026</t>
  </si>
  <si>
    <t>SALVADOR RAMIREZ</t>
  </si>
  <si>
    <t>20032026</t>
  </si>
  <si>
    <t>RODRIGO SABEDRA</t>
  </si>
  <si>
    <t>SALVADOR PINO ALCAIDE</t>
  </si>
  <si>
    <t>12032026</t>
  </si>
  <si>
    <t>DAVID ARROLLO</t>
  </si>
  <si>
    <t>07032026</t>
  </si>
  <si>
    <t>cambio el numero de telefono a 977630257</t>
  </si>
  <si>
    <t>LEONEL MOYANO</t>
  </si>
  <si>
    <t>02032026</t>
  </si>
  <si>
    <t>DANIEL OCTAVIO VON</t>
  </si>
  <si>
    <t>17032026</t>
  </si>
  <si>
    <t>PAULINA PINCHETI</t>
  </si>
  <si>
    <t>13032026</t>
  </si>
  <si>
    <t>CYNTHIA LOPEZ RIVAS</t>
  </si>
  <si>
    <t>CAMILA CID</t>
  </si>
  <si>
    <t>10032026</t>
  </si>
  <si>
    <t>CAROL VALDIVIA</t>
  </si>
  <si>
    <t>5126116K</t>
  </si>
  <si>
    <t>PILAR BARI</t>
  </si>
  <si>
    <t>06032026</t>
  </si>
  <si>
    <t>12775750K</t>
  </si>
  <si>
    <t>SERGIO ENRIQUE AREVALO FUENZALIDA</t>
  </si>
  <si>
    <t>MILTON LEE</t>
  </si>
  <si>
    <t>05032026</t>
  </si>
  <si>
    <t>CRISTIAN WOHLER</t>
  </si>
  <si>
    <t>04032026</t>
  </si>
  <si>
    <t>GIOVANI CAPITANI</t>
  </si>
  <si>
    <t>21032026</t>
  </si>
  <si>
    <t>OSCAR DIAZ</t>
  </si>
  <si>
    <t>KAREN VANESSA PICHUNANTE CANSECO</t>
  </si>
  <si>
    <t>24032026</t>
  </si>
  <si>
    <t>DANIEL MOLINA</t>
  </si>
  <si>
    <t>CARLA RIQUELME ROMAN</t>
  </si>
  <si>
    <t>MARIELA GODOY</t>
  </si>
  <si>
    <t>CESFAM</t>
  </si>
  <si>
    <t>JOSE ANTONIO TRONCOSO CAYUQUEO</t>
  </si>
  <si>
    <t>19032026</t>
  </si>
  <si>
    <t>PATRICIO SEGURA</t>
  </si>
  <si>
    <t>HUMBERTO ESPINOZA</t>
  </si>
  <si>
    <t>BORIL BENITO</t>
  </si>
  <si>
    <t>HECTOR NARVAEZ</t>
  </si>
  <si>
    <t>MARIELA ARELLANO</t>
  </si>
  <si>
    <t>16032026</t>
  </si>
  <si>
    <t>JUAN MANNS</t>
  </si>
  <si>
    <t>GONZALO RUIZ</t>
  </si>
  <si>
    <t>JUAN CARLOS CATALAN</t>
  </si>
  <si>
    <t>15032026</t>
  </si>
  <si>
    <t>ALEJANDRO ALFREDO DEVIA MONTENEGRO</t>
  </si>
  <si>
    <t>14032026</t>
  </si>
  <si>
    <t>LUIS RIVAS</t>
  </si>
  <si>
    <t>FRANCISCO GONZALEZ</t>
  </si>
  <si>
    <t>REIMUNDO ROJAS</t>
  </si>
  <si>
    <t>JONATHAN ZUÑIGA</t>
  </si>
  <si>
    <t>09032026</t>
  </si>
  <si>
    <t>JOSE MIGUEL MENDEZ</t>
  </si>
  <si>
    <t>JUAN ARMARIO</t>
  </si>
  <si>
    <t>NATALIA ORTEGA</t>
  </si>
  <si>
    <t>ADOLFO ARASNE</t>
  </si>
  <si>
    <t>JORGE ENRIQUE ZAMORA CONCHA</t>
  </si>
  <si>
    <t>CARLOS MUÑOZ</t>
  </si>
  <si>
    <t>ANTONIO VASQUEZ</t>
  </si>
  <si>
    <t>JOSE LUIS CAVIERES</t>
  </si>
  <si>
    <t>13042026</t>
  </si>
  <si>
    <t>MARIA JOSE OROZCO</t>
  </si>
  <si>
    <t>11042026</t>
  </si>
  <si>
    <t>RONALD JIMENEZ</t>
  </si>
  <si>
    <t>EDUARDO ZUÑIGA</t>
  </si>
  <si>
    <t>ALVARO MARQUEZ</t>
  </si>
  <si>
    <t>10042026</t>
  </si>
  <si>
    <t>8696211K</t>
  </si>
  <si>
    <t>ALBERTO SOTO</t>
  </si>
  <si>
    <t>08042026</t>
  </si>
  <si>
    <t>JUAN TORREALBA</t>
  </si>
  <si>
    <t>JORGE JOPIA TAPIA</t>
  </si>
  <si>
    <t>06042026</t>
  </si>
  <si>
    <t>ALEXIA PINTO</t>
  </si>
  <si>
    <t>02042026</t>
  </si>
  <si>
    <t>ALEX ROSAS</t>
  </si>
  <si>
    <t>LUIS LEYTON</t>
  </si>
  <si>
    <t>31032026</t>
  </si>
  <si>
    <t>CARLOS OYARZUN</t>
  </si>
  <si>
    <t>30032026</t>
  </si>
  <si>
    <t>IGNACIO BARRIOS</t>
  </si>
  <si>
    <t>27032026</t>
  </si>
  <si>
    <t>ok</t>
  </si>
  <si>
    <t>JOSE CARREÑO</t>
  </si>
  <si>
    <t>28032026</t>
  </si>
  <si>
    <t>7079604K</t>
  </si>
  <si>
    <t>BEGOÑA PAYA</t>
  </si>
  <si>
    <t>CARLOS QUINTANILLA</t>
  </si>
  <si>
    <t>MARCEL BIGNON</t>
  </si>
  <si>
    <t>09042026</t>
  </si>
  <si>
    <t>CARLOS JOFRE</t>
  </si>
  <si>
    <t>7666045K</t>
  </si>
  <si>
    <t>MIGUEL RODRIGUEZ</t>
  </si>
  <si>
    <t>JUAN MARIN</t>
  </si>
  <si>
    <t>01042026</t>
  </si>
  <si>
    <t>JAIME PIZARRO</t>
  </si>
  <si>
    <t>LUIS LOPEZ</t>
  </si>
  <si>
    <t>FRANCISCO VIEYTES MUÑOZ</t>
  </si>
  <si>
    <t>FROILAND MUÑOZ</t>
  </si>
  <si>
    <t>DIEGO DIAZ</t>
  </si>
  <si>
    <t>no tiene whatsapp, numero extranjero</t>
  </si>
  <si>
    <t>AURELIO AZOCA</t>
  </si>
  <si>
    <t>26032026</t>
  </si>
  <si>
    <t>RICHARD GRASSAU</t>
  </si>
  <si>
    <t>20042026</t>
  </si>
  <si>
    <t>JUSTINE BRITO</t>
  </si>
  <si>
    <t>18042026</t>
  </si>
  <si>
    <t>JOSE SALGADO</t>
  </si>
  <si>
    <t>MICAELA REYES</t>
  </si>
  <si>
    <t>21042026</t>
  </si>
  <si>
    <t>PATRICIA BRAVO</t>
  </si>
  <si>
    <t>7106459K</t>
  </si>
  <si>
    <t>MARIA SOLEDAD SABORIDO</t>
  </si>
  <si>
    <t>22042026</t>
  </si>
  <si>
    <t>GONZALO SEPULVEDA</t>
  </si>
  <si>
    <t>LINDA ASTUDILLO</t>
  </si>
  <si>
    <t>CARLOS RAMIREZ</t>
  </si>
  <si>
    <t>MAXIMILIANO BARRA</t>
  </si>
  <si>
    <t>DIEGO GONZALEZ</t>
  </si>
  <si>
    <t>SILVIA VINEZ</t>
  </si>
  <si>
    <t>17042026</t>
  </si>
  <si>
    <t>MARIA UGENIA</t>
  </si>
  <si>
    <t>15228280K</t>
  </si>
  <si>
    <t>EDUARDO FIGUEROA</t>
  </si>
  <si>
    <t>SOLEDAD DAVIDSON</t>
  </si>
  <si>
    <t>15042026</t>
  </si>
  <si>
    <t>CRISTINA BUSTOS</t>
  </si>
  <si>
    <t>RUTH MAGALI</t>
  </si>
  <si>
    <t>14042026</t>
  </si>
  <si>
    <t xml:space="preserve">AXEL VARAS </t>
  </si>
  <si>
    <t>05052026</t>
  </si>
  <si>
    <t>LEXANDER ROSALES</t>
  </si>
  <si>
    <t>04052026</t>
  </si>
  <si>
    <t>BRUNO SCARZELLA</t>
  </si>
  <si>
    <t>02052026</t>
  </si>
  <si>
    <t>VICTORIA VILLAGRAN</t>
  </si>
  <si>
    <t>29042026</t>
  </si>
  <si>
    <t>ROBERTO CORVALAN</t>
  </si>
  <si>
    <t>06052026</t>
  </si>
  <si>
    <t>MASTER HOUSE CM SPA</t>
  </si>
  <si>
    <t>ROBERTO CARDENAS</t>
  </si>
  <si>
    <t>MARCO AROS</t>
  </si>
  <si>
    <t>JULIO ALVAREZ</t>
  </si>
  <si>
    <t>30042026</t>
  </si>
  <si>
    <t>FLAVIO CAPETILLO</t>
  </si>
  <si>
    <t>LUIS CONTRERAS</t>
  </si>
  <si>
    <t>28042026</t>
  </si>
  <si>
    <t>LUZ ADRIANA CASTRO VALENCIA</t>
  </si>
  <si>
    <t>COLIN MORRISON</t>
  </si>
  <si>
    <t>14052026</t>
  </si>
  <si>
    <t>ALONSO VALDERRAMA</t>
  </si>
  <si>
    <t>09052026</t>
  </si>
  <si>
    <t>CRISTIAN GARRIDO</t>
  </si>
  <si>
    <t>08052026</t>
  </si>
  <si>
    <t>25042026</t>
  </si>
  <si>
    <t xml:space="preserve">MIGUEL DIAZ </t>
  </si>
  <si>
    <t>23042026</t>
  </si>
  <si>
    <t xml:space="preserve">CARLOS JOFRE </t>
  </si>
  <si>
    <t>18032026</t>
  </si>
  <si>
    <t>MACARENA GILLAVER</t>
  </si>
  <si>
    <t>25052026</t>
  </si>
  <si>
    <t xml:space="preserve">JORGE ALVAREZ </t>
  </si>
  <si>
    <t>22052026</t>
  </si>
  <si>
    <t>VICTOR PAILLACAR</t>
  </si>
  <si>
    <t>20052026</t>
  </si>
  <si>
    <t>KAREN QUINTEROS</t>
  </si>
  <si>
    <t>19052026</t>
  </si>
  <si>
    <t>LUIS NUÑEZ</t>
  </si>
  <si>
    <t>16052026</t>
  </si>
  <si>
    <t>SONIA SARACOSTTI</t>
  </si>
  <si>
    <t>15052026</t>
  </si>
  <si>
    <t>JORGE AEDO</t>
  </si>
  <si>
    <t>13052026</t>
  </si>
  <si>
    <t>OSCAR RAMIREZ</t>
  </si>
  <si>
    <t>ORLANDO URTUBIA</t>
  </si>
  <si>
    <t>11052026</t>
  </si>
  <si>
    <t>CONSTANZA BACKIT</t>
  </si>
  <si>
    <t>EDGARDO GINDENELLER</t>
  </si>
  <si>
    <t>MAUREEN FUENTES</t>
  </si>
  <si>
    <t>12052026</t>
  </si>
  <si>
    <t xml:space="preserve">MICAELA REYES </t>
  </si>
  <si>
    <t>19042026</t>
  </si>
  <si>
    <t>FRANCISCO VIEYTES</t>
  </si>
  <si>
    <t>DANIELA VALDEBENITO</t>
  </si>
  <si>
    <t>01062026</t>
  </si>
  <si>
    <t>TCONCHILE INGIENERIA Y SERVICIOS LIMITADA</t>
  </si>
  <si>
    <t>29052026</t>
  </si>
  <si>
    <t>LUIS LABRIN RUBIO</t>
  </si>
  <si>
    <t>ISMAEL JIMENEZ</t>
  </si>
  <si>
    <t>ESTEBAN LEIVA CEBALLOS</t>
  </si>
  <si>
    <t>9851807K</t>
  </si>
  <si>
    <t>EDUARDO DIAZ</t>
  </si>
  <si>
    <t>30052026</t>
  </si>
  <si>
    <t>FRANCISCO JAVIER BASTIDAS</t>
  </si>
  <si>
    <t>28052026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</si>
</sst>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0" fontId="2" fillId="2" borderId="0" xfId="0" applyFon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left"/>
    </xf>
    <xf numFmtId="0" fontId="0" fillId="3" borderId="0" xfId="0" applyFill="1" applyAlignment="1">
      <alignment horizontal="center"/>
    </xf>
    <xf numFmtId="0" fontId="3" fillId="0" borderId="0" xfId="0" applyFont="1" applyFill="1"/>
    <xf numFmtId="0" fontId="3" fillId="0" borderId="0" xfId="0" applyFont="1" applyFill="1" applyAlignment="1">
      <alignment horizontal="left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right"/>
    </xf>
    <xf numFmtId="0" fontId="4" fillId="0" borderId="0" xfId="0" applyFont="1" applyFill="1" applyAlignment="1">
      <alignment horizontal="left"/>
    </xf>
    <xf numFmtId="49" fontId="3" fillId="0" borderId="0" xfId="0" applyNumberFormat="1" applyFont="1" applyFill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>
      <alignment horizontal="left" vertical="center"/>
    </xf>
    <xf numFmtId="49" fontId="4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right"/>
    </xf>
  </cellXfs>
  <cellStyles count="1">
    <cellStyle name="Normal" xfId="0" builtinId="0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fill>
        <patternFill patternType="none">
          <bgColor auto="1"/>
        </patternFill>
      </fill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0" formatCode="General"/>
      <fill>
        <patternFill patternType="none">
          <bgColor auto="1"/>
        </patternFill>
      </fill>
    </dxf>
    <dxf>
      <alignment horizontal="center" vertical="center" textRotation="0" wrapText="1" indent="0" justifyLastLine="0" shrinkToFit="0" readingOrder="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0"/>
          <bgColor theme="0"/>
        </patternFill>
      </fill>
    </dxf>
  </dxfs>
  <tableStyles count="1" defaultTableStyle="TableStyleMedium2" defaultPivotStyle="PivotStyleLight16">
    <tableStyle name="BASE-style 2" pivot="0" count="2" xr9:uid="{25FB3E52-557A-45C9-B799-DEA181267147}">
      <tableStyleElement type="firstRowStripe" dxfId="32"/>
      <tableStyleElement type="secondRowStripe" dxfId="3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137161</xdr:colOff>
      <xdr:row>0</xdr:row>
      <xdr:rowOff>0</xdr:rowOff>
    </xdr:from>
    <xdr:to>
      <xdr:col>1</xdr:col>
      <xdr:colOff>769621</xdr:colOff>
      <xdr:row>2</xdr:row>
      <xdr:rowOff>9022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4A1060B-4115-F6DF-A0EC-437B61D09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641" y="0"/>
          <a:ext cx="632460" cy="603382"/>
        </a:xfrm>
        <a:prstGeom prst="rect">
          <a:avLst/>
        </a:prstGeom>
      </xdr:spPr>
    </xdr:pic>
    <xdr:clientData/>
  </xdr:twoCellAnchor>
  <xdr:twoCellAnchor>
    <xdr:from>
      <xdr:col>5</xdr:col>
      <xdr:colOff>228600</xdr:colOff>
      <xdr:row>0</xdr:row>
      <xdr:rowOff>0</xdr:rowOff>
    </xdr:from>
    <xdr:to>
      <xdr:col>7</xdr:col>
      <xdr:colOff>327660</xdr:colOff>
      <xdr:row>0</xdr:row>
      <xdr:rowOff>198120</xdr:rowOff>
    </xdr:to>
    <xdr:sp macro="[0]!Formular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C58475F-8F27-54D2-26CC-974A33E49F9E}"/>
            </a:ext>
          </a:extLst>
        </xdr:cNvPr>
        <xdr:cNvSpPr/>
      </xdr:nvSpPr>
      <xdr:spPr>
        <a:xfrm>
          <a:off x="5143500" y="144780"/>
          <a:ext cx="1424940" cy="2362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>
              <a:solidFill>
                <a:schemeClr val="bg1"/>
              </a:solidFill>
            </a:rPr>
            <a:t>FORMULARIO</a:t>
          </a:r>
        </a:p>
      </xdr:txBody>
    </xdr:sp>
    <xdr:clientData/>
  </xdr:twoCellAnchor>
  <xdr:twoCellAnchor>
    <xdr:from>
      <xdr:col>9</xdr:col>
      <xdr:colOff>274320</xdr:colOff>
      <xdr:row>0</xdr:row>
      <xdr:rowOff>0</xdr:rowOff>
    </xdr:from>
    <xdr:to>
      <xdr:col>11</xdr:col>
      <xdr:colOff>480060</xdr:colOff>
      <xdr:row>0</xdr:row>
      <xdr:rowOff>205740</xdr:rowOff>
    </xdr:to>
    <xdr:sp macro="[0]!OCULTAREXCEL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3ADF3D5-F566-43D3-99BC-6B81FBFB14BB}"/>
            </a:ext>
          </a:extLst>
        </xdr:cNvPr>
        <xdr:cNvSpPr/>
      </xdr:nvSpPr>
      <xdr:spPr>
        <a:xfrm>
          <a:off x="7757160" y="152400"/>
          <a:ext cx="1424940" cy="2362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>
              <a:solidFill>
                <a:schemeClr val="bg1"/>
              </a:solidFill>
            </a:rPr>
            <a:t>OCULTAR EXCEL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abel\Downloads\PROGRAMA%20AHORRO%20PLUSS%20(1).xlsm" TargetMode="External"/><Relationship Id="rId1" Type="http://schemas.openxmlformats.org/officeDocument/2006/relationships/externalLinkPath" Target="file:///C:\Users\label\Downloads\PROGRAMA%20AHORRO%20PLU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SE"/>
      <sheetName val="CONVENIOS"/>
    </sheetNames>
    <sheetDataSet>
      <sheetData sheetId="0">
        <row r="4">
          <cell r="J4">
            <v>15000</v>
          </cell>
          <cell r="O4">
            <v>15000</v>
          </cell>
        </row>
        <row r="5">
          <cell r="J5">
            <v>15000</v>
          </cell>
          <cell r="O5">
            <v>15000</v>
          </cell>
        </row>
        <row r="6">
          <cell r="J6">
            <v>15000</v>
          </cell>
          <cell r="O6">
            <v>15000</v>
          </cell>
          <cell r="P6">
            <v>8000</v>
          </cell>
        </row>
        <row r="7">
          <cell r="J7">
            <v>15000</v>
          </cell>
          <cell r="K7">
            <v>15000</v>
          </cell>
          <cell r="O7">
            <v>30000</v>
          </cell>
          <cell r="P7">
            <v>15000</v>
          </cell>
        </row>
        <row r="8">
          <cell r="J8">
            <v>15000</v>
          </cell>
          <cell r="O8">
            <v>15000</v>
          </cell>
        </row>
        <row r="9">
          <cell r="J9">
            <v>15000</v>
          </cell>
          <cell r="O9">
            <v>15000</v>
          </cell>
        </row>
        <row r="10">
          <cell r="J10">
            <v>20000</v>
          </cell>
          <cell r="O10">
            <v>20000</v>
          </cell>
        </row>
        <row r="11">
          <cell r="J11">
            <v>15000</v>
          </cell>
          <cell r="O11">
            <v>15000</v>
          </cell>
        </row>
        <row r="12">
          <cell r="J12">
            <v>15000</v>
          </cell>
          <cell r="O12">
            <v>15000</v>
          </cell>
        </row>
        <row r="13">
          <cell r="J13">
            <v>15000</v>
          </cell>
          <cell r="O13">
            <v>15000</v>
          </cell>
        </row>
        <row r="14">
          <cell r="J14">
            <v>15000</v>
          </cell>
          <cell r="O14">
            <v>15000</v>
          </cell>
        </row>
        <row r="15">
          <cell r="J15">
            <v>15000</v>
          </cell>
          <cell r="O15">
            <v>15000</v>
          </cell>
        </row>
        <row r="16">
          <cell r="J16">
            <v>20000</v>
          </cell>
          <cell r="O16">
            <v>20000</v>
          </cell>
        </row>
        <row r="17">
          <cell r="J17">
            <v>15000</v>
          </cell>
          <cell r="O17">
            <v>15000</v>
          </cell>
        </row>
        <row r="18">
          <cell r="J18">
            <v>15000</v>
          </cell>
          <cell r="O18">
            <v>15000</v>
          </cell>
        </row>
        <row r="19">
          <cell r="J19">
            <v>15000</v>
          </cell>
          <cell r="O19">
            <v>15000</v>
          </cell>
        </row>
        <row r="20">
          <cell r="J20">
            <v>15000</v>
          </cell>
          <cell r="O20">
            <v>15000</v>
          </cell>
          <cell r="P20">
            <v>15000</v>
          </cell>
        </row>
        <row r="21">
          <cell r="J21">
            <v>15000</v>
          </cell>
          <cell r="O21">
            <v>15000</v>
          </cell>
        </row>
        <row r="22">
          <cell r="J22">
            <v>15000</v>
          </cell>
          <cell r="O22">
            <v>15000</v>
          </cell>
        </row>
        <row r="23">
          <cell r="J23">
            <v>15000</v>
          </cell>
          <cell r="K23">
            <v>15000</v>
          </cell>
          <cell r="O23">
            <v>30000</v>
          </cell>
        </row>
        <row r="24">
          <cell r="J24">
            <v>15000</v>
          </cell>
          <cell r="O24">
            <v>15000</v>
          </cell>
        </row>
        <row r="25">
          <cell r="J25">
            <v>15000</v>
          </cell>
          <cell r="O25">
            <v>15000</v>
          </cell>
        </row>
        <row r="26">
          <cell r="J26">
            <v>15000</v>
          </cell>
          <cell r="O26">
            <v>15000</v>
          </cell>
          <cell r="P26">
            <v>12000</v>
          </cell>
        </row>
        <row r="27">
          <cell r="J27">
            <v>15000</v>
          </cell>
          <cell r="O27">
            <v>15000</v>
          </cell>
        </row>
        <row r="28">
          <cell r="J28">
            <v>15000</v>
          </cell>
          <cell r="O28">
            <v>15000</v>
          </cell>
        </row>
        <row r="29">
          <cell r="J29">
            <v>15000</v>
          </cell>
          <cell r="O29">
            <v>15000</v>
          </cell>
        </row>
        <row r="30">
          <cell r="J30">
            <v>15000</v>
          </cell>
          <cell r="O30">
            <v>15000</v>
          </cell>
        </row>
        <row r="31">
          <cell r="J31">
            <v>15000</v>
          </cell>
          <cell r="O31">
            <v>15000</v>
          </cell>
        </row>
        <row r="32">
          <cell r="J32">
            <v>15000</v>
          </cell>
          <cell r="O32">
            <v>15000</v>
          </cell>
        </row>
        <row r="33">
          <cell r="J33">
            <v>15000</v>
          </cell>
          <cell r="O33">
            <v>15000</v>
          </cell>
        </row>
        <row r="34">
          <cell r="J34">
            <v>15000</v>
          </cell>
          <cell r="O34">
            <v>15000</v>
          </cell>
        </row>
        <row r="35">
          <cell r="J35">
            <v>15000</v>
          </cell>
          <cell r="O35">
            <v>15000</v>
          </cell>
        </row>
        <row r="36">
          <cell r="J36">
            <v>15000</v>
          </cell>
          <cell r="O36">
            <v>15000</v>
          </cell>
        </row>
        <row r="37">
          <cell r="J37">
            <v>15000</v>
          </cell>
          <cell r="O37">
            <v>15000</v>
          </cell>
        </row>
        <row r="38">
          <cell r="J38">
            <v>15000</v>
          </cell>
          <cell r="K38">
            <v>15000</v>
          </cell>
          <cell r="O38">
            <v>30000</v>
          </cell>
          <cell r="P38">
            <v>15000</v>
          </cell>
        </row>
        <row r="39">
          <cell r="J39">
            <v>15000</v>
          </cell>
          <cell r="O39">
            <v>15000</v>
          </cell>
        </row>
        <row r="40">
          <cell r="J40">
            <v>15000</v>
          </cell>
          <cell r="O40">
            <v>15000</v>
          </cell>
        </row>
        <row r="41">
          <cell r="J41">
            <v>15000</v>
          </cell>
          <cell r="O41">
            <v>15000</v>
          </cell>
        </row>
        <row r="42">
          <cell r="J42">
            <v>15000</v>
          </cell>
          <cell r="O42">
            <v>15000</v>
          </cell>
        </row>
        <row r="43">
          <cell r="J43">
            <v>15000</v>
          </cell>
          <cell r="O43">
            <v>15000</v>
          </cell>
        </row>
        <row r="44">
          <cell r="J44">
            <v>15000</v>
          </cell>
          <cell r="O44">
            <v>15000</v>
          </cell>
        </row>
        <row r="45">
          <cell r="J45">
            <v>15000</v>
          </cell>
          <cell r="O45">
            <v>15000</v>
          </cell>
        </row>
        <row r="46">
          <cell r="J46">
            <v>15000</v>
          </cell>
          <cell r="O46">
            <v>15000</v>
          </cell>
          <cell r="P46">
            <v>15000</v>
          </cell>
        </row>
        <row r="47">
          <cell r="J47">
            <v>15000</v>
          </cell>
          <cell r="O47">
            <v>15000</v>
          </cell>
        </row>
        <row r="48">
          <cell r="J48">
            <v>15000</v>
          </cell>
          <cell r="O48">
            <v>15000</v>
          </cell>
        </row>
        <row r="49">
          <cell r="J49">
            <v>15000</v>
          </cell>
          <cell r="O49">
            <v>15000</v>
          </cell>
        </row>
        <row r="50">
          <cell r="J50">
            <v>15000</v>
          </cell>
          <cell r="O50">
            <v>15000</v>
          </cell>
        </row>
        <row r="51">
          <cell r="J51">
            <v>15000</v>
          </cell>
          <cell r="O51">
            <v>15000</v>
          </cell>
        </row>
        <row r="52">
          <cell r="J52">
            <v>15000</v>
          </cell>
          <cell r="O52">
            <v>15000</v>
          </cell>
        </row>
        <row r="53">
          <cell r="J53">
            <v>15000</v>
          </cell>
          <cell r="O53">
            <v>15000</v>
          </cell>
        </row>
        <row r="54">
          <cell r="J54">
            <v>15000</v>
          </cell>
          <cell r="O54">
            <v>15000</v>
          </cell>
        </row>
        <row r="55">
          <cell r="J55">
            <v>15000</v>
          </cell>
          <cell r="O55">
            <v>15000</v>
          </cell>
        </row>
        <row r="56">
          <cell r="J56">
            <v>15000</v>
          </cell>
          <cell r="O56">
            <v>15000</v>
          </cell>
        </row>
        <row r="57">
          <cell r="J57">
            <v>15000</v>
          </cell>
          <cell r="O57">
            <v>15000</v>
          </cell>
        </row>
        <row r="58">
          <cell r="J58">
            <v>15000</v>
          </cell>
          <cell r="O58">
            <v>15000</v>
          </cell>
        </row>
        <row r="59">
          <cell r="J59">
            <v>15000</v>
          </cell>
          <cell r="O59">
            <v>15000</v>
          </cell>
        </row>
        <row r="60">
          <cell r="J60">
            <v>15000</v>
          </cell>
          <cell r="O60">
            <v>15000</v>
          </cell>
        </row>
        <row r="61">
          <cell r="J61">
            <v>15000</v>
          </cell>
          <cell r="O61">
            <v>15000</v>
          </cell>
        </row>
        <row r="62">
          <cell r="J62">
            <v>15000</v>
          </cell>
          <cell r="K62">
            <v>15000</v>
          </cell>
          <cell r="O62">
            <v>30000</v>
          </cell>
        </row>
        <row r="63">
          <cell r="J63">
            <v>15000</v>
          </cell>
          <cell r="O63">
            <v>15000</v>
          </cell>
          <cell r="P63">
            <v>15000</v>
          </cell>
        </row>
        <row r="64">
          <cell r="J64">
            <v>15000</v>
          </cell>
          <cell r="O64">
            <v>15000</v>
          </cell>
        </row>
        <row r="65">
          <cell r="J65">
            <v>15000</v>
          </cell>
          <cell r="O65">
            <v>15000</v>
          </cell>
        </row>
        <row r="66">
          <cell r="J66">
            <v>15000</v>
          </cell>
          <cell r="O66">
            <v>15000</v>
          </cell>
        </row>
        <row r="67">
          <cell r="J67">
            <v>15000</v>
          </cell>
          <cell r="O67">
            <v>15000</v>
          </cell>
        </row>
        <row r="68">
          <cell r="J68">
            <v>15000</v>
          </cell>
          <cell r="O68">
            <v>15000</v>
          </cell>
        </row>
        <row r="69">
          <cell r="J69">
            <v>15000</v>
          </cell>
          <cell r="O69">
            <v>15000</v>
          </cell>
        </row>
        <row r="70">
          <cell r="J70">
            <v>15000</v>
          </cell>
          <cell r="O70">
            <v>15000</v>
          </cell>
        </row>
        <row r="71">
          <cell r="J71">
            <v>15000</v>
          </cell>
          <cell r="O71">
            <v>15000</v>
          </cell>
        </row>
        <row r="72">
          <cell r="J72">
            <v>15000</v>
          </cell>
          <cell r="O72">
            <v>15000</v>
          </cell>
        </row>
        <row r="73">
          <cell r="J73">
            <v>15000</v>
          </cell>
          <cell r="O73">
            <v>15000</v>
          </cell>
        </row>
        <row r="74">
          <cell r="J74">
            <v>15000</v>
          </cell>
          <cell r="O74">
            <v>15000</v>
          </cell>
        </row>
        <row r="75">
          <cell r="J75">
            <v>15000</v>
          </cell>
          <cell r="O75">
            <v>15000</v>
          </cell>
        </row>
        <row r="76">
          <cell r="J76">
            <v>15000</v>
          </cell>
          <cell r="O76">
            <v>15000</v>
          </cell>
        </row>
        <row r="77">
          <cell r="J77">
            <v>15000</v>
          </cell>
          <cell r="O77">
            <v>15000</v>
          </cell>
        </row>
        <row r="78">
          <cell r="J78">
            <v>15000</v>
          </cell>
          <cell r="O78">
            <v>15000</v>
          </cell>
        </row>
        <row r="79">
          <cell r="J79">
            <v>15000</v>
          </cell>
          <cell r="O79">
            <v>15000</v>
          </cell>
        </row>
        <row r="80">
          <cell r="J80">
            <v>15000</v>
          </cell>
          <cell r="O80">
            <v>15000</v>
          </cell>
        </row>
        <row r="81">
          <cell r="J81">
            <v>15000</v>
          </cell>
          <cell r="O81">
            <v>15000</v>
          </cell>
        </row>
        <row r="82">
          <cell r="J82">
            <v>15000</v>
          </cell>
          <cell r="O82">
            <v>15000</v>
          </cell>
        </row>
        <row r="83">
          <cell r="J83">
            <v>15000</v>
          </cell>
          <cell r="O83">
            <v>15000</v>
          </cell>
        </row>
        <row r="84">
          <cell r="J84">
            <v>15000</v>
          </cell>
          <cell r="O84">
            <v>15000</v>
          </cell>
        </row>
        <row r="85">
          <cell r="J85">
            <v>15000</v>
          </cell>
          <cell r="O85">
            <v>15000</v>
          </cell>
        </row>
        <row r="86">
          <cell r="J86">
            <v>15000</v>
          </cell>
          <cell r="O86">
            <v>15000</v>
          </cell>
        </row>
        <row r="87">
          <cell r="J87">
            <v>15000</v>
          </cell>
          <cell r="O87">
            <v>15000</v>
          </cell>
        </row>
        <row r="88">
          <cell r="J88">
            <v>15000</v>
          </cell>
          <cell r="O88">
            <v>15000</v>
          </cell>
        </row>
        <row r="89">
          <cell r="J89">
            <v>15000</v>
          </cell>
          <cell r="O89">
            <v>15000</v>
          </cell>
        </row>
        <row r="90">
          <cell r="J90">
            <v>15000</v>
          </cell>
          <cell r="K90">
            <v>15000</v>
          </cell>
          <cell r="O90">
            <v>30000</v>
          </cell>
        </row>
        <row r="91">
          <cell r="J91">
            <v>15000</v>
          </cell>
          <cell r="O91">
            <v>15000</v>
          </cell>
        </row>
        <row r="92">
          <cell r="J92">
            <v>15000</v>
          </cell>
          <cell r="O92">
            <v>15000</v>
          </cell>
          <cell r="P92">
            <v>15000</v>
          </cell>
        </row>
        <row r="93">
          <cell r="J93">
            <v>15000</v>
          </cell>
          <cell r="O93">
            <v>15000</v>
          </cell>
        </row>
        <row r="94">
          <cell r="J94">
            <v>15000</v>
          </cell>
          <cell r="O94">
            <v>15000</v>
          </cell>
        </row>
        <row r="95">
          <cell r="J95">
            <v>15000</v>
          </cell>
          <cell r="O95">
            <v>15000</v>
          </cell>
        </row>
        <row r="96">
          <cell r="J96">
            <v>15000</v>
          </cell>
          <cell r="O96">
            <v>15000</v>
          </cell>
        </row>
        <row r="97">
          <cell r="J97">
            <v>15000</v>
          </cell>
          <cell r="O97">
            <v>15000</v>
          </cell>
        </row>
        <row r="98">
          <cell r="J98">
            <v>15000</v>
          </cell>
          <cell r="O98">
            <v>15000</v>
          </cell>
        </row>
        <row r="99">
          <cell r="J99">
            <v>15000</v>
          </cell>
          <cell r="O99">
            <v>15000</v>
          </cell>
        </row>
        <row r="100">
          <cell r="J100">
            <v>15000</v>
          </cell>
          <cell r="O100">
            <v>15000</v>
          </cell>
        </row>
        <row r="101">
          <cell r="J101">
            <v>15000</v>
          </cell>
          <cell r="O101">
            <v>15000</v>
          </cell>
        </row>
        <row r="102">
          <cell r="J102">
            <v>15000</v>
          </cell>
          <cell r="O102">
            <v>15000</v>
          </cell>
        </row>
        <row r="103">
          <cell r="J103">
            <v>15000</v>
          </cell>
          <cell r="O103">
            <v>15000</v>
          </cell>
        </row>
        <row r="104">
          <cell r="J104">
            <v>15000</v>
          </cell>
          <cell r="O104">
            <v>15000</v>
          </cell>
        </row>
        <row r="105">
          <cell r="J105">
            <v>15000</v>
          </cell>
          <cell r="O105">
            <v>15000</v>
          </cell>
        </row>
        <row r="106">
          <cell r="J106">
            <v>15000</v>
          </cell>
          <cell r="O106">
            <v>15000</v>
          </cell>
        </row>
        <row r="107">
          <cell r="J107">
            <v>15000</v>
          </cell>
          <cell r="O107">
            <v>15000</v>
          </cell>
        </row>
        <row r="108">
          <cell r="J108">
            <v>15000</v>
          </cell>
          <cell r="O108">
            <v>15000</v>
          </cell>
        </row>
        <row r="109">
          <cell r="J109">
            <v>15000</v>
          </cell>
          <cell r="O109">
            <v>15000</v>
          </cell>
        </row>
        <row r="110">
          <cell r="J110">
            <v>15000</v>
          </cell>
          <cell r="K110">
            <v>15000</v>
          </cell>
          <cell r="O110">
            <v>30000</v>
          </cell>
        </row>
        <row r="111">
          <cell r="J111">
            <v>15000</v>
          </cell>
          <cell r="O111">
            <v>15000</v>
          </cell>
        </row>
        <row r="112">
          <cell r="J112">
            <v>15000</v>
          </cell>
          <cell r="O112">
            <v>15000</v>
          </cell>
        </row>
        <row r="113">
          <cell r="J113">
            <v>15000</v>
          </cell>
          <cell r="O113">
            <v>15000</v>
          </cell>
        </row>
        <row r="114">
          <cell r="J114">
            <v>15000</v>
          </cell>
          <cell r="O114">
            <v>15000</v>
          </cell>
        </row>
        <row r="115">
          <cell r="J115">
            <v>15000</v>
          </cell>
          <cell r="O115">
            <v>15000</v>
          </cell>
        </row>
        <row r="116">
          <cell r="J116">
            <v>15000</v>
          </cell>
          <cell r="O116">
            <v>15000</v>
          </cell>
        </row>
        <row r="117">
          <cell r="J117">
            <v>15000</v>
          </cell>
          <cell r="O117">
            <v>15000</v>
          </cell>
        </row>
        <row r="118">
          <cell r="J118">
            <v>15000</v>
          </cell>
          <cell r="O118">
            <v>15000</v>
          </cell>
        </row>
        <row r="119">
          <cell r="J119">
            <v>15000</v>
          </cell>
          <cell r="O119">
            <v>15000</v>
          </cell>
        </row>
        <row r="120">
          <cell r="J120">
            <v>15000</v>
          </cell>
          <cell r="O120">
            <v>15000</v>
          </cell>
        </row>
        <row r="121">
          <cell r="J121">
            <v>15000</v>
          </cell>
          <cell r="O121">
            <v>15000</v>
          </cell>
        </row>
        <row r="122">
          <cell r="J122">
            <v>15000</v>
          </cell>
          <cell r="O122">
            <v>15000</v>
          </cell>
        </row>
        <row r="123">
          <cell r="J123">
            <v>15000</v>
          </cell>
          <cell r="O123">
            <v>15000</v>
          </cell>
        </row>
        <row r="124">
          <cell r="J124">
            <v>15000</v>
          </cell>
          <cell r="K124">
            <v>15000</v>
          </cell>
          <cell r="O124">
            <v>30000</v>
          </cell>
        </row>
        <row r="125">
          <cell r="J125">
            <v>15000</v>
          </cell>
          <cell r="O125">
            <v>15000</v>
          </cell>
        </row>
        <row r="126">
          <cell r="J126">
            <v>15000</v>
          </cell>
          <cell r="O126">
            <v>15000</v>
          </cell>
        </row>
        <row r="127">
          <cell r="J127">
            <v>15000</v>
          </cell>
          <cell r="O127">
            <v>15000</v>
          </cell>
        </row>
        <row r="128">
          <cell r="J128">
            <v>15000</v>
          </cell>
          <cell r="O128">
            <v>15000</v>
          </cell>
        </row>
        <row r="129">
          <cell r="J129">
            <v>15000</v>
          </cell>
          <cell r="O129">
            <v>15000</v>
          </cell>
        </row>
        <row r="130">
          <cell r="J130">
            <v>15000</v>
          </cell>
          <cell r="O130">
            <v>15000</v>
          </cell>
        </row>
        <row r="131">
          <cell r="J131">
            <v>15000</v>
          </cell>
          <cell r="O131">
            <v>15000</v>
          </cell>
        </row>
        <row r="132">
          <cell r="J132">
            <v>15000</v>
          </cell>
          <cell r="O132">
            <v>15000</v>
          </cell>
        </row>
        <row r="133">
          <cell r="J133">
            <v>15000</v>
          </cell>
          <cell r="O133">
            <v>15000</v>
          </cell>
        </row>
        <row r="134">
          <cell r="J134">
            <v>15000</v>
          </cell>
          <cell r="O134">
            <v>15000</v>
          </cell>
        </row>
        <row r="135">
          <cell r="J135">
            <v>15000</v>
          </cell>
          <cell r="O135">
            <v>15000</v>
          </cell>
        </row>
        <row r="136">
          <cell r="J136">
            <v>15000</v>
          </cell>
          <cell r="O136">
            <v>15000</v>
          </cell>
        </row>
        <row r="137">
          <cell r="J137">
            <v>15000</v>
          </cell>
          <cell r="O137">
            <v>15000</v>
          </cell>
        </row>
        <row r="138">
          <cell r="J138">
            <v>15000</v>
          </cell>
          <cell r="O138">
            <v>15000</v>
          </cell>
        </row>
        <row r="139">
          <cell r="J139">
            <v>15000</v>
          </cell>
          <cell r="O139">
            <v>15000</v>
          </cell>
        </row>
        <row r="140">
          <cell r="J140">
            <v>15000</v>
          </cell>
          <cell r="O140">
            <v>15000</v>
          </cell>
        </row>
        <row r="141">
          <cell r="J141">
            <v>15000</v>
          </cell>
          <cell r="O141">
            <v>15000</v>
          </cell>
        </row>
        <row r="142">
          <cell r="J142">
            <v>15000</v>
          </cell>
          <cell r="O142">
            <v>15000</v>
          </cell>
        </row>
        <row r="143">
          <cell r="J143">
            <v>15000</v>
          </cell>
          <cell r="O143">
            <v>15000</v>
          </cell>
        </row>
        <row r="144">
          <cell r="J144">
            <v>15000</v>
          </cell>
          <cell r="O144">
            <v>15000</v>
          </cell>
        </row>
        <row r="145">
          <cell r="J145">
            <v>15000</v>
          </cell>
          <cell r="O145">
            <v>15000</v>
          </cell>
        </row>
        <row r="146">
          <cell r="J146">
            <v>15000</v>
          </cell>
          <cell r="O146">
            <v>15000</v>
          </cell>
        </row>
        <row r="147">
          <cell r="J147">
            <v>15000</v>
          </cell>
          <cell r="O147">
            <v>15000</v>
          </cell>
        </row>
        <row r="148">
          <cell r="J148">
            <v>15000</v>
          </cell>
          <cell r="O148">
            <v>15000</v>
          </cell>
        </row>
        <row r="149">
          <cell r="J149">
            <v>15000</v>
          </cell>
          <cell r="O149">
            <v>15000</v>
          </cell>
        </row>
        <row r="150">
          <cell r="J150">
            <v>15000</v>
          </cell>
          <cell r="K150">
            <v>15000</v>
          </cell>
          <cell r="O150">
            <v>30000</v>
          </cell>
        </row>
        <row r="151">
          <cell r="J151">
            <v>15000</v>
          </cell>
          <cell r="O151">
            <v>15000</v>
          </cell>
        </row>
        <row r="152">
          <cell r="J152">
            <v>15000</v>
          </cell>
          <cell r="O152">
            <v>15000</v>
          </cell>
        </row>
        <row r="153">
          <cell r="J153">
            <v>15000</v>
          </cell>
          <cell r="O153">
            <v>15000</v>
          </cell>
        </row>
        <row r="154">
          <cell r="J154">
            <v>15000</v>
          </cell>
          <cell r="K154">
            <v>15000</v>
          </cell>
          <cell r="L154">
            <v>15000</v>
          </cell>
          <cell r="O154">
            <v>45000</v>
          </cell>
        </row>
        <row r="155">
          <cell r="J155">
            <v>15000</v>
          </cell>
          <cell r="O155">
            <v>15000</v>
          </cell>
        </row>
        <row r="156">
          <cell r="J156">
            <v>15000</v>
          </cell>
          <cell r="O156">
            <v>15000</v>
          </cell>
        </row>
        <row r="157">
          <cell r="J157">
            <v>15000</v>
          </cell>
          <cell r="O157">
            <v>15000</v>
          </cell>
        </row>
        <row r="158">
          <cell r="J158">
            <v>15000</v>
          </cell>
          <cell r="O158">
            <v>15000</v>
          </cell>
        </row>
        <row r="159">
          <cell r="J159">
            <v>15000</v>
          </cell>
          <cell r="O159">
            <v>15000</v>
          </cell>
        </row>
        <row r="160">
          <cell r="J160">
            <v>15000</v>
          </cell>
          <cell r="O160">
            <v>15000</v>
          </cell>
        </row>
        <row r="161">
          <cell r="J161">
            <v>15000</v>
          </cell>
          <cell r="O161">
            <v>15000</v>
          </cell>
        </row>
        <row r="162">
          <cell r="J162">
            <v>15000</v>
          </cell>
          <cell r="O162">
            <v>15000</v>
          </cell>
        </row>
        <row r="163">
          <cell r="J163">
            <v>15000</v>
          </cell>
          <cell r="O163">
            <v>15000</v>
          </cell>
          <cell r="P163">
            <v>15000</v>
          </cell>
        </row>
        <row r="164">
          <cell r="J164">
            <v>15000</v>
          </cell>
          <cell r="O164">
            <v>15000</v>
          </cell>
        </row>
        <row r="165">
          <cell r="J165">
            <v>15000</v>
          </cell>
          <cell r="O165">
            <v>15000</v>
          </cell>
        </row>
        <row r="166">
          <cell r="J166">
            <v>15000</v>
          </cell>
          <cell r="O166">
            <v>15000</v>
          </cell>
        </row>
        <row r="167">
          <cell r="J167">
            <v>15000</v>
          </cell>
          <cell r="O167">
            <v>15000</v>
          </cell>
        </row>
        <row r="168">
          <cell r="J168">
            <v>15000</v>
          </cell>
          <cell r="O168">
            <v>15000</v>
          </cell>
        </row>
        <row r="169">
          <cell r="J169">
            <v>15000</v>
          </cell>
          <cell r="O169">
            <v>15000</v>
          </cell>
        </row>
        <row r="170">
          <cell r="J170">
            <v>15000</v>
          </cell>
          <cell r="O170">
            <v>15000</v>
          </cell>
        </row>
        <row r="171">
          <cell r="J171">
            <v>15000</v>
          </cell>
          <cell r="O171">
            <v>15000</v>
          </cell>
        </row>
        <row r="172">
          <cell r="J172">
            <v>15000</v>
          </cell>
          <cell r="O172">
            <v>15000</v>
          </cell>
        </row>
        <row r="173">
          <cell r="J173">
            <v>20000</v>
          </cell>
          <cell r="O173">
            <v>20000</v>
          </cell>
          <cell r="P173">
            <v>20000</v>
          </cell>
        </row>
        <row r="174">
          <cell r="J174">
            <v>15000</v>
          </cell>
          <cell r="O174">
            <v>15000</v>
          </cell>
        </row>
        <row r="175">
          <cell r="J175">
            <v>15000</v>
          </cell>
          <cell r="O175">
            <v>15000</v>
          </cell>
        </row>
        <row r="176">
          <cell r="J176">
            <v>15000</v>
          </cell>
          <cell r="O176">
            <v>15000</v>
          </cell>
        </row>
        <row r="177">
          <cell r="J177">
            <v>15000</v>
          </cell>
          <cell r="O177">
            <v>15000</v>
          </cell>
        </row>
        <row r="178">
          <cell r="J178">
            <v>15000</v>
          </cell>
          <cell r="O178">
            <v>15000</v>
          </cell>
        </row>
        <row r="179">
          <cell r="J179">
            <v>15000</v>
          </cell>
          <cell r="O179">
            <v>15000</v>
          </cell>
        </row>
        <row r="180">
          <cell r="J180">
            <v>15000</v>
          </cell>
          <cell r="O180">
            <v>15000</v>
          </cell>
        </row>
        <row r="181">
          <cell r="J181">
            <v>15000</v>
          </cell>
          <cell r="O181">
            <v>15000</v>
          </cell>
        </row>
        <row r="182">
          <cell r="J182">
            <v>15000</v>
          </cell>
          <cell r="O182">
            <v>15000</v>
          </cell>
        </row>
        <row r="183">
          <cell r="J183">
            <v>15000</v>
          </cell>
          <cell r="O183">
            <v>15000</v>
          </cell>
        </row>
        <row r="184">
          <cell r="J184">
            <v>15000</v>
          </cell>
          <cell r="O184">
            <v>15000</v>
          </cell>
          <cell r="P184">
            <v>15000</v>
          </cell>
        </row>
        <row r="186">
          <cell r="J186">
            <v>15000</v>
          </cell>
          <cell r="O186">
            <v>15000</v>
          </cell>
          <cell r="P186">
            <v>15000</v>
          </cell>
        </row>
        <row r="187">
          <cell r="J187">
            <v>15000</v>
          </cell>
          <cell r="O187">
            <v>15000</v>
          </cell>
        </row>
        <row r="188">
          <cell r="J188">
            <v>15000</v>
          </cell>
          <cell r="O188">
            <v>15000</v>
          </cell>
        </row>
        <row r="189">
          <cell r="J189">
            <v>15000</v>
          </cell>
          <cell r="O189">
            <v>15000</v>
          </cell>
        </row>
        <row r="190">
          <cell r="J190">
            <v>15000</v>
          </cell>
          <cell r="O190">
            <v>15000</v>
          </cell>
        </row>
        <row r="191">
          <cell r="J191">
            <v>15000</v>
          </cell>
          <cell r="O191">
            <v>15000</v>
          </cell>
        </row>
        <row r="192">
          <cell r="J192">
            <v>15000</v>
          </cell>
          <cell r="O192">
            <v>15000</v>
          </cell>
        </row>
        <row r="193">
          <cell r="J193">
            <v>15000</v>
          </cell>
          <cell r="O193">
            <v>15000</v>
          </cell>
        </row>
        <row r="194">
          <cell r="J194">
            <v>15000</v>
          </cell>
          <cell r="O194">
            <v>15000</v>
          </cell>
        </row>
        <row r="195">
          <cell r="J195">
            <v>15000</v>
          </cell>
          <cell r="O195">
            <v>15000</v>
          </cell>
        </row>
        <row r="196">
          <cell r="J196">
            <v>15000</v>
          </cell>
          <cell r="O196">
            <v>15000</v>
          </cell>
        </row>
        <row r="197">
          <cell r="J197">
            <v>15000</v>
          </cell>
          <cell r="O197">
            <v>15000</v>
          </cell>
        </row>
        <row r="198">
          <cell r="J198">
            <v>15000</v>
          </cell>
          <cell r="O198">
            <v>15000</v>
          </cell>
        </row>
        <row r="199">
          <cell r="J199">
            <v>15000</v>
          </cell>
          <cell r="O199">
            <v>15000</v>
          </cell>
        </row>
        <row r="200">
          <cell r="J200">
            <v>15000</v>
          </cell>
          <cell r="K200">
            <v>15000</v>
          </cell>
          <cell r="O200">
            <v>30000</v>
          </cell>
        </row>
        <row r="201">
          <cell r="J201">
            <v>15000</v>
          </cell>
          <cell r="O201">
            <v>15000</v>
          </cell>
          <cell r="P201">
            <v>11700</v>
          </cell>
        </row>
        <row r="202">
          <cell r="J202">
            <v>15000</v>
          </cell>
          <cell r="O202">
            <v>15000</v>
          </cell>
        </row>
        <row r="203">
          <cell r="J203">
            <v>15000</v>
          </cell>
          <cell r="O203">
            <v>15000</v>
          </cell>
        </row>
        <row r="204">
          <cell r="J204">
            <v>15000</v>
          </cell>
          <cell r="O204">
            <v>15000</v>
          </cell>
        </row>
        <row r="205">
          <cell r="J205">
            <v>15000</v>
          </cell>
          <cell r="O205">
            <v>15000</v>
          </cell>
        </row>
        <row r="206">
          <cell r="J206">
            <v>15000</v>
          </cell>
          <cell r="O206">
            <v>15000</v>
          </cell>
        </row>
        <row r="207">
          <cell r="J207">
            <v>15000</v>
          </cell>
          <cell r="O207">
            <v>15000</v>
          </cell>
        </row>
        <row r="208">
          <cell r="J208">
            <v>15000</v>
          </cell>
          <cell r="O208">
            <v>15000</v>
          </cell>
        </row>
        <row r="209">
          <cell r="J209">
            <v>15000</v>
          </cell>
          <cell r="O209">
            <v>15000</v>
          </cell>
        </row>
        <row r="210">
          <cell r="J210">
            <v>15000</v>
          </cell>
          <cell r="O210">
            <v>15000</v>
          </cell>
        </row>
        <row r="211">
          <cell r="J211">
            <v>15000</v>
          </cell>
          <cell r="O211">
            <v>15000</v>
          </cell>
        </row>
        <row r="212">
          <cell r="J212">
            <v>15000</v>
          </cell>
          <cell r="O212">
            <v>15000</v>
          </cell>
        </row>
        <row r="213">
          <cell r="J213">
            <v>15000</v>
          </cell>
          <cell r="O213">
            <v>15000</v>
          </cell>
        </row>
        <row r="214">
          <cell r="J214">
            <v>15000</v>
          </cell>
          <cell r="O214">
            <v>15000</v>
          </cell>
        </row>
        <row r="215">
          <cell r="J215">
            <v>15000</v>
          </cell>
          <cell r="O215">
            <v>15000</v>
          </cell>
        </row>
        <row r="216">
          <cell r="J216">
            <v>15000</v>
          </cell>
          <cell r="O216">
            <v>15000</v>
          </cell>
        </row>
        <row r="217">
          <cell r="J217">
            <v>15000</v>
          </cell>
          <cell r="O217">
            <v>15000</v>
          </cell>
        </row>
        <row r="218">
          <cell r="J218">
            <v>15000</v>
          </cell>
          <cell r="O218">
            <v>15000</v>
          </cell>
        </row>
        <row r="219">
          <cell r="J219">
            <v>15000</v>
          </cell>
          <cell r="O219">
            <v>15000</v>
          </cell>
        </row>
        <row r="220">
          <cell r="J220">
            <v>15000</v>
          </cell>
          <cell r="O220">
            <v>15000</v>
          </cell>
        </row>
        <row r="221">
          <cell r="J221">
            <v>15000</v>
          </cell>
          <cell r="O221">
            <v>15000</v>
          </cell>
        </row>
        <row r="222">
          <cell r="J222">
            <v>15000</v>
          </cell>
          <cell r="K222">
            <v>15000</v>
          </cell>
          <cell r="O222">
            <v>30000</v>
          </cell>
        </row>
        <row r="223">
          <cell r="J223">
            <v>15000</v>
          </cell>
          <cell r="O223">
            <v>15000</v>
          </cell>
        </row>
        <row r="224">
          <cell r="J224">
            <v>15000</v>
          </cell>
          <cell r="O224">
            <v>15000</v>
          </cell>
        </row>
        <row r="225">
          <cell r="J225">
            <v>15000</v>
          </cell>
          <cell r="O225">
            <v>15000</v>
          </cell>
        </row>
        <row r="226">
          <cell r="J226">
            <v>15000</v>
          </cell>
          <cell r="O226">
            <v>15000</v>
          </cell>
        </row>
        <row r="227">
          <cell r="J227">
            <v>15000</v>
          </cell>
          <cell r="K227">
            <v>15000</v>
          </cell>
          <cell r="O227">
            <v>30000</v>
          </cell>
        </row>
        <row r="228">
          <cell r="J228">
            <v>15000</v>
          </cell>
          <cell r="O228">
            <v>15000</v>
          </cell>
        </row>
        <row r="229">
          <cell r="J229">
            <v>15000</v>
          </cell>
          <cell r="O229">
            <v>15000</v>
          </cell>
        </row>
        <row r="230">
          <cell r="J230">
            <v>15000</v>
          </cell>
          <cell r="O230">
            <v>15000</v>
          </cell>
        </row>
        <row r="231">
          <cell r="J231">
            <v>15000</v>
          </cell>
          <cell r="O231">
            <v>15000</v>
          </cell>
        </row>
        <row r="232">
          <cell r="J232">
            <v>15000</v>
          </cell>
          <cell r="O232">
            <v>15000</v>
          </cell>
        </row>
        <row r="233">
          <cell r="J233">
            <v>15000</v>
          </cell>
          <cell r="O233">
            <v>15000</v>
          </cell>
        </row>
        <row r="234">
          <cell r="J234">
            <v>15000</v>
          </cell>
          <cell r="O234">
            <v>15000</v>
          </cell>
        </row>
        <row r="235">
          <cell r="J235">
            <v>15000</v>
          </cell>
          <cell r="O235">
            <v>15000</v>
          </cell>
        </row>
        <row r="236">
          <cell r="J236">
            <v>15000</v>
          </cell>
          <cell r="O236">
            <v>15000</v>
          </cell>
        </row>
        <row r="237">
          <cell r="J237">
            <v>15000</v>
          </cell>
          <cell r="O237">
            <v>15000</v>
          </cell>
        </row>
        <row r="238">
          <cell r="J238">
            <v>15000</v>
          </cell>
          <cell r="K238">
            <v>15000</v>
          </cell>
          <cell r="O238">
            <v>30000</v>
          </cell>
        </row>
        <row r="239">
          <cell r="J239">
            <v>15000</v>
          </cell>
          <cell r="O239">
            <v>15000</v>
          </cell>
        </row>
        <row r="240">
          <cell r="J240">
            <v>15000</v>
          </cell>
          <cell r="O240">
            <v>15000</v>
          </cell>
        </row>
        <row r="241">
          <cell r="J241">
            <v>15000</v>
          </cell>
          <cell r="O241">
            <v>15000</v>
          </cell>
        </row>
        <row r="242">
          <cell r="J242">
            <v>15000</v>
          </cell>
          <cell r="O242">
            <v>15000</v>
          </cell>
        </row>
        <row r="243">
          <cell r="J243">
            <v>15000</v>
          </cell>
          <cell r="O243">
            <v>15000</v>
          </cell>
        </row>
        <row r="244">
          <cell r="J244">
            <v>15000</v>
          </cell>
          <cell r="O244">
            <v>15000</v>
          </cell>
        </row>
        <row r="245">
          <cell r="J245">
            <v>15000</v>
          </cell>
          <cell r="O245">
            <v>15000</v>
          </cell>
        </row>
        <row r="246">
          <cell r="J246">
            <v>15000</v>
          </cell>
          <cell r="O246">
            <v>15000</v>
          </cell>
        </row>
        <row r="247">
          <cell r="J247">
            <v>15000</v>
          </cell>
          <cell r="O247">
            <v>15000</v>
          </cell>
        </row>
        <row r="248">
          <cell r="J248">
            <v>15000</v>
          </cell>
          <cell r="O248">
            <v>15000</v>
          </cell>
        </row>
        <row r="249">
          <cell r="J249">
            <v>15000</v>
          </cell>
          <cell r="O249">
            <v>15000</v>
          </cell>
        </row>
        <row r="250">
          <cell r="J250">
            <v>15000</v>
          </cell>
          <cell r="O250">
            <v>15000</v>
          </cell>
        </row>
        <row r="251">
          <cell r="J251">
            <v>15000</v>
          </cell>
          <cell r="O251">
            <v>15000</v>
          </cell>
        </row>
        <row r="252">
          <cell r="J252">
            <v>15000</v>
          </cell>
          <cell r="O252">
            <v>15000</v>
          </cell>
        </row>
        <row r="253">
          <cell r="J253">
            <v>15000</v>
          </cell>
          <cell r="O253">
            <v>15000</v>
          </cell>
        </row>
        <row r="254">
          <cell r="J254">
            <v>15000</v>
          </cell>
          <cell r="K254">
            <v>15000</v>
          </cell>
          <cell r="O254">
            <v>30000</v>
          </cell>
        </row>
        <row r="255">
          <cell r="J255">
            <v>15000</v>
          </cell>
          <cell r="O255">
            <v>15000</v>
          </cell>
        </row>
        <row r="256">
          <cell r="J256">
            <v>15000</v>
          </cell>
          <cell r="O256">
            <v>15000</v>
          </cell>
        </row>
        <row r="257">
          <cell r="J257">
            <v>15000</v>
          </cell>
          <cell r="K257">
            <v>15000</v>
          </cell>
          <cell r="O257">
            <v>30000</v>
          </cell>
        </row>
        <row r="258">
          <cell r="J258">
            <v>15000</v>
          </cell>
          <cell r="O258">
            <v>15000</v>
          </cell>
        </row>
        <row r="259">
          <cell r="J259">
            <v>15000</v>
          </cell>
          <cell r="O259">
            <v>15000</v>
          </cell>
        </row>
        <row r="260">
          <cell r="J260">
            <v>15000</v>
          </cell>
          <cell r="O260">
            <v>15000</v>
          </cell>
        </row>
        <row r="261">
          <cell r="J261">
            <v>15000</v>
          </cell>
          <cell r="O261">
            <v>15000</v>
          </cell>
        </row>
        <row r="262">
          <cell r="J262">
            <v>15000</v>
          </cell>
          <cell r="O262">
            <v>15000</v>
          </cell>
        </row>
        <row r="263">
          <cell r="J263">
            <v>15000</v>
          </cell>
          <cell r="O263">
            <v>15000</v>
          </cell>
        </row>
        <row r="264">
          <cell r="J264">
            <v>15000</v>
          </cell>
          <cell r="O264">
            <v>15000</v>
          </cell>
        </row>
        <row r="265">
          <cell r="J265">
            <v>15000</v>
          </cell>
          <cell r="O265">
            <v>15000</v>
          </cell>
        </row>
        <row r="266">
          <cell r="J266">
            <v>15000</v>
          </cell>
          <cell r="O266">
            <v>15000</v>
          </cell>
        </row>
        <row r="267">
          <cell r="J267">
            <v>15000</v>
          </cell>
          <cell r="O267">
            <v>15000</v>
          </cell>
        </row>
        <row r="268">
          <cell r="J268">
            <v>15000</v>
          </cell>
          <cell r="O268">
            <v>15000</v>
          </cell>
        </row>
        <row r="269">
          <cell r="J269">
            <v>15000</v>
          </cell>
          <cell r="O269">
            <v>15000</v>
          </cell>
        </row>
        <row r="270">
          <cell r="J270">
            <v>15000</v>
          </cell>
          <cell r="O270">
            <v>15000</v>
          </cell>
        </row>
        <row r="271">
          <cell r="J271">
            <v>15000</v>
          </cell>
          <cell r="O271">
            <v>15000</v>
          </cell>
        </row>
        <row r="272">
          <cell r="J272">
            <v>15000</v>
          </cell>
          <cell r="O272">
            <v>15000</v>
          </cell>
        </row>
        <row r="273">
          <cell r="J273">
            <v>15000</v>
          </cell>
          <cell r="O273">
            <v>15000</v>
          </cell>
        </row>
        <row r="274">
          <cell r="J274">
            <v>15000</v>
          </cell>
          <cell r="O274">
            <v>15000</v>
          </cell>
        </row>
        <row r="275">
          <cell r="J275">
            <v>15000</v>
          </cell>
          <cell r="O275">
            <v>15000</v>
          </cell>
        </row>
        <row r="276">
          <cell r="J276">
            <v>15000</v>
          </cell>
          <cell r="O276">
            <v>15000</v>
          </cell>
        </row>
        <row r="277">
          <cell r="J277">
            <v>15000</v>
          </cell>
          <cell r="O277">
            <v>15000</v>
          </cell>
        </row>
        <row r="278">
          <cell r="J278">
            <v>15000</v>
          </cell>
          <cell r="O278">
            <v>15000</v>
          </cell>
        </row>
        <row r="279">
          <cell r="J279">
            <v>15000</v>
          </cell>
          <cell r="O279">
            <v>15000</v>
          </cell>
        </row>
        <row r="280">
          <cell r="J280">
            <v>15000</v>
          </cell>
          <cell r="O280">
            <v>15000</v>
          </cell>
        </row>
        <row r="281">
          <cell r="J281">
            <v>15000</v>
          </cell>
          <cell r="O281">
            <v>15000</v>
          </cell>
        </row>
        <row r="282">
          <cell r="J282">
            <v>15000</v>
          </cell>
          <cell r="O282">
            <v>15000</v>
          </cell>
        </row>
        <row r="283">
          <cell r="J283">
            <v>15000</v>
          </cell>
          <cell r="O283">
            <v>15000</v>
          </cell>
        </row>
        <row r="284">
          <cell r="J284">
            <v>15000</v>
          </cell>
          <cell r="O284">
            <v>15000</v>
          </cell>
        </row>
        <row r="285">
          <cell r="J285">
            <v>15000</v>
          </cell>
          <cell r="O285">
            <v>15000</v>
          </cell>
        </row>
        <row r="286">
          <cell r="J286">
            <v>15000</v>
          </cell>
          <cell r="O286">
            <v>15000</v>
          </cell>
        </row>
        <row r="287">
          <cell r="J287">
            <v>15000</v>
          </cell>
          <cell r="O287">
            <v>15000</v>
          </cell>
        </row>
        <row r="288">
          <cell r="J288">
            <v>15000</v>
          </cell>
          <cell r="O288">
            <v>15000</v>
          </cell>
        </row>
        <row r="289">
          <cell r="J289">
            <v>15000</v>
          </cell>
          <cell r="O289">
            <v>15000</v>
          </cell>
        </row>
        <row r="290">
          <cell r="J290">
            <v>15000</v>
          </cell>
          <cell r="O290">
            <v>15000</v>
          </cell>
        </row>
        <row r="291">
          <cell r="O291">
            <v>0</v>
          </cell>
        </row>
        <row r="292">
          <cell r="O292">
            <v>0</v>
          </cell>
        </row>
        <row r="293">
          <cell r="O293">
            <v>0</v>
          </cell>
        </row>
        <row r="294">
          <cell r="O294">
            <v>0</v>
          </cell>
        </row>
        <row r="295">
          <cell r="O295">
            <v>0</v>
          </cell>
        </row>
        <row r="296">
          <cell r="O296">
            <v>0</v>
          </cell>
        </row>
        <row r="297">
          <cell r="O297">
            <v>0</v>
          </cell>
        </row>
        <row r="298">
          <cell r="O298">
            <v>0</v>
          </cell>
        </row>
        <row r="299">
          <cell r="O299">
            <v>0</v>
          </cell>
        </row>
        <row r="300">
          <cell r="O300">
            <v>0</v>
          </cell>
        </row>
        <row r="301">
          <cell r="O301">
            <v>0</v>
          </cell>
        </row>
        <row r="302">
          <cell r="O302">
            <v>0</v>
          </cell>
        </row>
        <row r="303">
          <cell r="O303">
            <v>0</v>
          </cell>
        </row>
        <row r="304">
          <cell r="O304">
            <v>0</v>
          </cell>
        </row>
        <row r="305">
          <cell r="O305">
            <v>0</v>
          </cell>
        </row>
        <row r="306">
          <cell r="O306">
            <v>0</v>
          </cell>
        </row>
        <row r="307">
          <cell r="O307">
            <v>0</v>
          </cell>
        </row>
        <row r="308">
          <cell r="O308">
            <v>0</v>
          </cell>
        </row>
        <row r="309">
          <cell r="O309">
            <v>0</v>
          </cell>
        </row>
        <row r="310">
          <cell r="O310">
            <v>0</v>
          </cell>
        </row>
        <row r="311">
          <cell r="O311">
            <v>0</v>
          </cell>
        </row>
        <row r="312">
          <cell r="O312">
            <v>0</v>
          </cell>
        </row>
        <row r="313">
          <cell r="O313">
            <v>0</v>
          </cell>
        </row>
        <row r="314">
          <cell r="O314">
            <v>0</v>
          </cell>
        </row>
        <row r="315">
          <cell r="O315">
            <v>0</v>
          </cell>
        </row>
        <row r="316">
          <cell r="O316">
            <v>0</v>
          </cell>
        </row>
        <row r="317">
          <cell r="O317">
            <v>0</v>
          </cell>
        </row>
        <row r="318">
          <cell r="O318">
            <v>0</v>
          </cell>
        </row>
        <row r="319">
          <cell r="O319">
            <v>0</v>
          </cell>
        </row>
        <row r="320">
          <cell r="O320">
            <v>0</v>
          </cell>
        </row>
        <row r="321">
          <cell r="O321">
            <v>0</v>
          </cell>
        </row>
        <row r="322">
          <cell r="O322">
            <v>0</v>
          </cell>
        </row>
        <row r="323">
          <cell r="O323">
            <v>0</v>
          </cell>
        </row>
        <row r="324">
          <cell r="O324">
            <v>0</v>
          </cell>
        </row>
        <row r="325">
          <cell r="O325">
            <v>0</v>
          </cell>
        </row>
        <row r="326">
          <cell r="O326">
            <v>0</v>
          </cell>
        </row>
        <row r="327">
          <cell r="O327">
            <v>0</v>
          </cell>
        </row>
        <row r="328">
          <cell r="O328">
            <v>0</v>
          </cell>
        </row>
        <row r="329">
          <cell r="O329">
            <v>0</v>
          </cell>
        </row>
        <row r="330">
          <cell r="O330">
            <v>0</v>
          </cell>
        </row>
        <row r="331">
          <cell r="O331">
            <v>0</v>
          </cell>
        </row>
        <row r="332">
          <cell r="O332">
            <v>0</v>
          </cell>
        </row>
        <row r="333">
          <cell r="O333">
            <v>0</v>
          </cell>
        </row>
        <row r="334">
          <cell r="O334">
            <v>0</v>
          </cell>
        </row>
        <row r="335">
          <cell r="O335">
            <v>0</v>
          </cell>
        </row>
        <row r="336">
          <cell r="O336">
            <v>0</v>
          </cell>
        </row>
        <row r="337">
          <cell r="O337">
            <v>0</v>
          </cell>
        </row>
        <row r="338">
          <cell r="O338">
            <v>0</v>
          </cell>
        </row>
        <row r="339">
          <cell r="O339">
            <v>0</v>
          </cell>
        </row>
        <row r="340">
          <cell r="O340">
            <v>0</v>
          </cell>
        </row>
        <row r="341">
          <cell r="O341">
            <v>0</v>
          </cell>
        </row>
        <row r="342">
          <cell r="O342">
            <v>0</v>
          </cell>
        </row>
        <row r="343">
          <cell r="O343">
            <v>0</v>
          </cell>
        </row>
      </sheetData>
      <sheetData sheetId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2CE111-02FD-4ECD-BF8B-0D5C58F2C0F7}" name="Tabla1" displayName="Tabla1" ref="C2:W343" totalsRowShown="0" headerRowDxfId="30" dataDxfId="8">
  <autoFilter ref="C2:W343" xr:uid="{1D2CE111-02FD-4ECD-BF8B-0D5C58F2C0F7}">
    <filterColumn colId="14">
      <filters>
        <filter val="15000"/>
        <filter val="20000"/>
        <filter val="30000"/>
        <filter val="5000"/>
      </filters>
    </filterColumn>
  </autoFilter>
  <tableColumns count="21">
    <tableColumn id="32" xr3:uid="{CB168699-AD00-457A-92B6-4B4B738BC790}" name="RUT" dataDxfId="29"/>
    <tableColumn id="2" xr3:uid="{2C07FABB-48C6-4FDB-9DB8-024BDB9B79F0}" name="MONBRE Y APELLIDO" dataDxfId="28"/>
    <tableColumn id="3" xr3:uid="{576AF0C7-C244-4BA2-A77C-ECA8FB3AE805}" name="MANT 1" dataDxfId="27"/>
    <tableColumn id="4" xr3:uid="{4AAF2C90-24C3-4EA4-AE5F-3FB22018D02F}" name="MANT 2" dataDxfId="26"/>
    <tableColumn id="5" xr3:uid="{4A2CA926-596B-450B-8F64-00DF19A39835}" name="MANT 3" dataDxfId="25"/>
    <tableColumn id="6" xr3:uid="{F607129C-6639-42A2-A0E7-876E706453EE}" name="MANT 4" dataDxfId="24"/>
    <tableColumn id="7" xr3:uid="{DC62D2E3-73C4-4D74-AB43-5BDC530373A6}" name="MANT 5" dataDxfId="23"/>
    <tableColumn id="8" xr3:uid="{AF7CD767-2CAE-48F8-9F8C-5AC9548DB4C0}" name="AHORRO  1" dataDxfId="22"/>
    <tableColumn id="9" xr3:uid="{D9F5B70D-82CF-47BB-B497-73B257065909}" name="AHORRO  2" dataDxfId="21"/>
    <tableColumn id="10" xr3:uid="{46E39306-0216-4533-A98B-FDE7667B3BFF}" name="AHORRO  3" dataDxfId="20"/>
    <tableColumn id="11" xr3:uid="{7F10514F-C5B9-4199-AB42-DA216E143820}" name="AHORRO  4" dataDxfId="19"/>
    <tableColumn id="12" xr3:uid="{95147FA9-DD78-4C1A-8C44-C5F8239EAC18}" name="AHORRO  5" dataDxfId="18"/>
    <tableColumn id="13" xr3:uid="{22232330-0D8A-4C06-AC58-970EAEA8ACC6}" name="HABER AHORRO" dataDxfId="17">
      <calculatedColumnFormula>SUM(Tabla1[[#This Row],[AHORRO  1]:[AHORRO  5]])</calculatedColumnFormula>
    </tableColumn>
    <tableColumn id="18" xr3:uid="{111C8810-9BA0-4CCE-B8E8-5FBD6D3DB475}" name="CREDITO AHORRO" dataDxfId="16"/>
    <tableColumn id="19" xr3:uid="{EBCCF0A0-C096-4962-BC4B-404DC2F6D7F0}" name="SALDO AHORRO" dataDxfId="15">
      <calculatedColumnFormula>Tabla1[[#This Row],[HABER AHORRO]]-Tabla1[[#This Row],[CREDITO AHORRO]]</calculatedColumnFormula>
    </tableColumn>
    <tableColumn id="20" xr3:uid="{928E29B6-8D89-44B2-A2AA-5182AB7EBFB2}" name="NRO. CONVENIO" dataDxfId="14"/>
    <tableColumn id="21" xr3:uid="{2AFCF656-9C6D-4E54-8354-5966652EBB5C}" name="FONO" dataDxfId="13"/>
    <tableColumn id="16" xr3:uid="{0C2AF1DB-0442-4A24-A809-C65D2289EB7F}" name="CORREO" dataDxfId="12"/>
    <tableColumn id="17" xr3:uid="{29254CDB-33C8-4599-93E1-E7F108615639}" name="Columna2" dataDxfId="11"/>
    <tableColumn id="14" xr3:uid="{27C86909-6A27-4FF8-A6BF-F43606121485}" name="Columna3" dataDxfId="10"/>
    <tableColumn id="22" xr3:uid="{6ED76121-A57D-4755-89AC-20E745AA2684}" name="Columna4" dataDxfId="9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6DF52-208E-4CC6-A387-9F0FFA4E6CE7}">
  <sheetPr codeName="Hoja1"/>
  <dimension ref="C1:X346"/>
  <sheetViews>
    <sheetView showGridLines="0" tabSelected="1" zoomScaleNormal="100" workbookViewId="0">
      <selection activeCell="C6" sqref="C6"/>
    </sheetView>
  </sheetViews>
  <sheetFormatPr baseColWidth="10" defaultRowHeight="14.4" x14ac:dyDescent="0.3"/>
  <cols>
    <col min="3" max="3" width="24.21875" customWidth="1"/>
    <col min="4" max="4" width="23.77734375" style="4" customWidth="1"/>
    <col min="5" max="8" width="9.6640625" customWidth="1"/>
    <col min="9" max="9" width="8.44140625" customWidth="1"/>
    <col min="10" max="10" width="9.109375" customWidth="1"/>
    <col min="11" max="11" width="8.6640625" customWidth="1"/>
    <col min="12" max="13" width="9.21875" customWidth="1"/>
    <col min="14" max="17" width="9" customWidth="1"/>
    <col min="18" max="18" width="17.44140625" customWidth="1"/>
    <col min="19" max="19" width="16.5546875" customWidth="1"/>
    <col min="20" max="20" width="10.33203125" customWidth="1"/>
    <col min="21" max="21" width="8.77734375" style="2" customWidth="1"/>
    <col min="22" max="23" width="8.44140625" style="2" customWidth="1"/>
  </cols>
  <sheetData>
    <row r="1" spans="3:23" ht="18" x14ac:dyDescent="0.35">
      <c r="C1" s="5" t="s">
        <v>24</v>
      </c>
      <c r="D1" s="5"/>
    </row>
    <row r="2" spans="3:23" s="1" customFormat="1" ht="28.8" x14ac:dyDescent="0.3">
      <c r="C2" s="1" t="s">
        <v>7</v>
      </c>
      <c r="D2" s="3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8</v>
      </c>
      <c r="K2" s="1" t="s">
        <v>9</v>
      </c>
      <c r="L2" s="1" t="s">
        <v>10</v>
      </c>
      <c r="M2" s="1" t="s">
        <v>11</v>
      </c>
      <c r="N2" s="1" t="s">
        <v>12</v>
      </c>
      <c r="O2" s="1" t="s">
        <v>13</v>
      </c>
      <c r="P2" s="1" t="s">
        <v>14</v>
      </c>
      <c r="Q2" s="1" t="s">
        <v>15</v>
      </c>
      <c r="R2" s="1" t="s">
        <v>16</v>
      </c>
      <c r="S2" s="1" t="s">
        <v>17</v>
      </c>
      <c r="T2" s="1" t="s">
        <v>18</v>
      </c>
      <c r="U2" s="1" t="s">
        <v>6</v>
      </c>
      <c r="V2" s="1" t="s">
        <v>19</v>
      </c>
      <c r="W2" s="1" t="s">
        <v>20</v>
      </c>
    </row>
    <row r="3" spans="3:23" x14ac:dyDescent="0.3">
      <c r="C3" s="9">
        <v>120755870</v>
      </c>
      <c r="D3" s="10" t="s">
        <v>25</v>
      </c>
      <c r="E3" s="9">
        <v>17112025</v>
      </c>
      <c r="F3" s="9"/>
      <c r="G3" s="9"/>
      <c r="H3" s="9"/>
      <c r="I3" s="9"/>
      <c r="J3" s="9">
        <v>15000</v>
      </c>
      <c r="K3" s="9"/>
      <c r="L3" s="9"/>
      <c r="M3" s="9"/>
      <c r="N3" s="9"/>
      <c r="O3" s="9">
        <f>SUM(Tabla1[[#This Row],[AHORRO  1]:[AHORRO  5]])</f>
        <v>15000</v>
      </c>
      <c r="P3" s="9">
        <v>10000</v>
      </c>
      <c r="Q3" s="9">
        <f>Tabla1[[#This Row],[HABER AHORRO]]-Tabla1[[#This Row],[CREDITO AHORRO]]</f>
        <v>5000</v>
      </c>
      <c r="R3" s="9" t="s">
        <v>21</v>
      </c>
      <c r="S3" s="9">
        <v>12345</v>
      </c>
      <c r="T3" s="9"/>
      <c r="U3" s="11" t="s">
        <v>26</v>
      </c>
      <c r="V3" s="11"/>
      <c r="W3" s="11"/>
    </row>
    <row r="4" spans="3:23" x14ac:dyDescent="0.3">
      <c r="C4" s="12" t="s">
        <v>42</v>
      </c>
      <c r="D4" s="13" t="s">
        <v>43</v>
      </c>
      <c r="E4" s="14" t="s">
        <v>223</v>
      </c>
      <c r="F4" s="9"/>
      <c r="G4" s="9"/>
      <c r="H4" s="9"/>
      <c r="I4" s="9"/>
      <c r="J4" s="9">
        <v>15000</v>
      </c>
      <c r="K4" s="9"/>
      <c r="L4" s="9"/>
      <c r="M4" s="9"/>
      <c r="N4" s="9"/>
      <c r="O4" s="9">
        <f>SUM([1]BASE!$J4:$N4)</f>
        <v>15000</v>
      </c>
      <c r="P4" s="9"/>
      <c r="Q4" s="9">
        <f>[1]BASE!$O4-[1]BASE!$P4</f>
        <v>15000</v>
      </c>
      <c r="R4" s="9" t="s">
        <v>224</v>
      </c>
      <c r="S4" s="9">
        <v>968811245</v>
      </c>
      <c r="T4" s="11" t="s">
        <v>225</v>
      </c>
      <c r="U4" s="15"/>
      <c r="V4" s="15"/>
      <c r="W4" s="15"/>
    </row>
    <row r="5" spans="3:23" x14ac:dyDescent="0.3">
      <c r="C5" s="9">
        <v>237772873</v>
      </c>
      <c r="D5" s="13" t="s">
        <v>44</v>
      </c>
      <c r="E5" s="14" t="s">
        <v>223</v>
      </c>
      <c r="F5" s="9"/>
      <c r="G5" s="9"/>
      <c r="H5" s="9"/>
      <c r="I5" s="9"/>
      <c r="J5" s="9">
        <v>15000</v>
      </c>
      <c r="K5" s="9"/>
      <c r="L5" s="9"/>
      <c r="M5" s="9"/>
      <c r="N5" s="9"/>
      <c r="O5" s="9">
        <f>SUM([1]BASE!$J5:$N5)</f>
        <v>15000</v>
      </c>
      <c r="P5" s="9"/>
      <c r="Q5" s="9">
        <f>[1]BASE!$O5-[1]BASE!$P5</f>
        <v>15000</v>
      </c>
      <c r="R5" s="9" t="s">
        <v>224</v>
      </c>
      <c r="S5" s="9">
        <v>975167217</v>
      </c>
      <c r="T5" s="11" t="s">
        <v>225</v>
      </c>
      <c r="U5" s="15"/>
      <c r="V5" s="15"/>
      <c r="W5" s="15"/>
    </row>
    <row r="6" spans="3:23" x14ac:dyDescent="0.3">
      <c r="C6" s="9">
        <v>183922602</v>
      </c>
      <c r="D6" s="13" t="s">
        <v>45</v>
      </c>
      <c r="E6" s="14" t="s">
        <v>226</v>
      </c>
      <c r="F6" s="9"/>
      <c r="G6" s="9"/>
      <c r="H6" s="9"/>
      <c r="I6" s="9"/>
      <c r="J6" s="9">
        <v>15000</v>
      </c>
      <c r="K6" s="9"/>
      <c r="L6" s="9"/>
      <c r="M6" s="9"/>
      <c r="N6" s="9"/>
      <c r="O6" s="9">
        <f>SUM([1]BASE!$J6:$N6)</f>
        <v>15000</v>
      </c>
      <c r="P6" s="9">
        <v>8000</v>
      </c>
      <c r="Q6" s="9">
        <f>[1]BASE!$O6-[1]BASE!$P6</f>
        <v>7000</v>
      </c>
      <c r="R6" s="9" t="s">
        <v>224</v>
      </c>
      <c r="S6" s="9">
        <v>991224904</v>
      </c>
      <c r="T6" s="11" t="s">
        <v>225</v>
      </c>
      <c r="U6" s="15"/>
      <c r="V6" s="15"/>
      <c r="W6" s="15"/>
    </row>
    <row r="7" spans="3:23" x14ac:dyDescent="0.3">
      <c r="C7" s="9">
        <v>128884211</v>
      </c>
      <c r="D7" s="13" t="s">
        <v>46</v>
      </c>
      <c r="E7" s="14" t="s">
        <v>226</v>
      </c>
      <c r="F7" s="9">
        <v>18032026</v>
      </c>
      <c r="G7" s="9"/>
      <c r="H7" s="9"/>
      <c r="I7" s="9"/>
      <c r="J7" s="9">
        <v>15000</v>
      </c>
      <c r="K7" s="9">
        <v>15000</v>
      </c>
      <c r="L7" s="9"/>
      <c r="M7" s="9"/>
      <c r="N7" s="9"/>
      <c r="O7" s="9">
        <f>SUM([1]BASE!$J7:$N7)</f>
        <v>30000</v>
      </c>
      <c r="P7" s="9">
        <v>15000</v>
      </c>
      <c r="Q7" s="9">
        <f>[1]BASE!$O7-[1]BASE!$P7</f>
        <v>15000</v>
      </c>
      <c r="R7" s="9" t="s">
        <v>224</v>
      </c>
      <c r="S7" s="9">
        <v>975803635</v>
      </c>
      <c r="T7" s="11" t="s">
        <v>225</v>
      </c>
      <c r="U7" s="15" t="s">
        <v>26</v>
      </c>
      <c r="V7" s="15"/>
      <c r="W7" s="15"/>
    </row>
    <row r="8" spans="3:23" x14ac:dyDescent="0.3">
      <c r="C8" s="9">
        <v>182722081</v>
      </c>
      <c r="D8" s="13" t="s">
        <v>47</v>
      </c>
      <c r="E8" s="14" t="s">
        <v>227</v>
      </c>
      <c r="F8" s="9"/>
      <c r="G8" s="9"/>
      <c r="H8" s="9"/>
      <c r="I8" s="9"/>
      <c r="J8" s="9">
        <v>15000</v>
      </c>
      <c r="K8" s="9"/>
      <c r="L8" s="9"/>
      <c r="M8" s="9"/>
      <c r="N8" s="9"/>
      <c r="O8" s="9">
        <f>SUM([1]BASE!$J8:$N8)</f>
        <v>15000</v>
      </c>
      <c r="P8" s="9"/>
      <c r="Q8" s="9">
        <f>[1]BASE!$O8-[1]BASE!$P8</f>
        <v>15000</v>
      </c>
      <c r="R8" s="9" t="s">
        <v>224</v>
      </c>
      <c r="S8" s="9">
        <v>989312131</v>
      </c>
      <c r="T8" s="11" t="s">
        <v>225</v>
      </c>
      <c r="U8" s="15"/>
      <c r="V8" s="15"/>
      <c r="W8" s="15"/>
    </row>
    <row r="9" spans="3:23" x14ac:dyDescent="0.3">
      <c r="C9" s="9">
        <v>62286954</v>
      </c>
      <c r="D9" s="13" t="s">
        <v>53</v>
      </c>
      <c r="E9" s="14" t="s">
        <v>228</v>
      </c>
      <c r="F9" s="9"/>
      <c r="G9" s="9"/>
      <c r="H9" s="9"/>
      <c r="I9" s="9"/>
      <c r="J9" s="9">
        <v>15000</v>
      </c>
      <c r="K9" s="9"/>
      <c r="L9" s="9"/>
      <c r="M9" s="9"/>
      <c r="N9" s="9"/>
      <c r="O9" s="9">
        <f>SUM([1]BASE!$J9:$N9)</f>
        <v>15000</v>
      </c>
      <c r="P9" s="9"/>
      <c r="Q9" s="9">
        <f>[1]BASE!$O9-[1]BASE!$P9</f>
        <v>15000</v>
      </c>
      <c r="R9" s="9" t="s">
        <v>224</v>
      </c>
      <c r="S9" s="9">
        <v>992326365</v>
      </c>
      <c r="T9" s="11" t="s">
        <v>225</v>
      </c>
      <c r="U9" s="15"/>
      <c r="V9" s="15"/>
      <c r="W9" s="15"/>
    </row>
    <row r="10" spans="3:23" x14ac:dyDescent="0.3">
      <c r="C10" s="9">
        <v>74612199</v>
      </c>
      <c r="D10" s="13" t="s">
        <v>54</v>
      </c>
      <c r="E10" s="14" t="s">
        <v>228</v>
      </c>
      <c r="F10" s="9"/>
      <c r="G10" s="9"/>
      <c r="H10" s="9"/>
      <c r="I10" s="9"/>
      <c r="J10" s="9">
        <v>20000</v>
      </c>
      <c r="K10" s="9"/>
      <c r="L10" s="9"/>
      <c r="M10" s="9"/>
      <c r="N10" s="9"/>
      <c r="O10" s="9">
        <f>SUM([1]BASE!$J10:$N10)</f>
        <v>20000</v>
      </c>
      <c r="P10" s="9"/>
      <c r="Q10" s="9">
        <f>[1]BASE!$O10-[1]BASE!$P10</f>
        <v>20000</v>
      </c>
      <c r="R10" s="9" t="s">
        <v>40</v>
      </c>
      <c r="S10" s="9">
        <v>992191334</v>
      </c>
      <c r="T10" s="11" t="s">
        <v>225</v>
      </c>
      <c r="U10" s="15"/>
      <c r="V10" s="15"/>
      <c r="W10" s="15"/>
    </row>
    <row r="11" spans="3:23" x14ac:dyDescent="0.3">
      <c r="C11" s="9">
        <v>67042379</v>
      </c>
      <c r="D11" s="13" t="s">
        <v>55</v>
      </c>
      <c r="E11" s="14" t="s">
        <v>228</v>
      </c>
      <c r="F11" s="9"/>
      <c r="G11" s="9"/>
      <c r="H11" s="9"/>
      <c r="I11" s="9"/>
      <c r="J11" s="9">
        <v>15000</v>
      </c>
      <c r="K11" s="9"/>
      <c r="L11" s="9"/>
      <c r="M11" s="9"/>
      <c r="N11" s="9"/>
      <c r="O11" s="9">
        <f>SUM([1]BASE!$J11:$N11)</f>
        <v>15000</v>
      </c>
      <c r="P11" s="9"/>
      <c r="Q11" s="9">
        <f>[1]BASE!$O11-[1]BASE!$P11</f>
        <v>15000</v>
      </c>
      <c r="R11" s="9" t="s">
        <v>224</v>
      </c>
      <c r="S11" s="9">
        <v>957292538</v>
      </c>
      <c r="T11" s="11" t="s">
        <v>225</v>
      </c>
      <c r="U11" s="15"/>
      <c r="V11" s="15"/>
      <c r="W11" s="15"/>
    </row>
    <row r="12" spans="3:23" x14ac:dyDescent="0.3">
      <c r="C12" s="9">
        <v>57473738</v>
      </c>
      <c r="D12" s="13" t="s">
        <v>56</v>
      </c>
      <c r="E12" s="14" t="s">
        <v>229</v>
      </c>
      <c r="F12" s="9"/>
      <c r="G12" s="9"/>
      <c r="H12" s="9"/>
      <c r="I12" s="9"/>
      <c r="J12" s="9">
        <v>15000</v>
      </c>
      <c r="K12" s="9"/>
      <c r="L12" s="9"/>
      <c r="M12" s="9"/>
      <c r="N12" s="9"/>
      <c r="O12" s="9">
        <f>SUM([1]BASE!$J12:$N12)</f>
        <v>15000</v>
      </c>
      <c r="P12" s="9"/>
      <c r="Q12" s="9">
        <f>[1]BASE!$O12-[1]BASE!$P12</f>
        <v>15000</v>
      </c>
      <c r="R12" s="9" t="s">
        <v>224</v>
      </c>
      <c r="S12" s="9">
        <v>996983841</v>
      </c>
      <c r="T12" s="11" t="s">
        <v>225</v>
      </c>
      <c r="U12" s="15"/>
      <c r="V12" s="15"/>
      <c r="W12" s="15"/>
    </row>
    <row r="13" spans="3:23" x14ac:dyDescent="0.3">
      <c r="C13" s="9">
        <v>265516629</v>
      </c>
      <c r="D13" s="13" t="s">
        <v>57</v>
      </c>
      <c r="E13" s="14" t="s">
        <v>229</v>
      </c>
      <c r="F13" s="9"/>
      <c r="G13" s="9"/>
      <c r="H13" s="9"/>
      <c r="I13" s="9"/>
      <c r="J13" s="9">
        <v>15000</v>
      </c>
      <c r="K13" s="9"/>
      <c r="L13" s="9"/>
      <c r="M13" s="9"/>
      <c r="N13" s="9"/>
      <c r="O13" s="9">
        <f>SUM([1]BASE!$J13:$N13)</f>
        <v>15000</v>
      </c>
      <c r="P13" s="9"/>
      <c r="Q13" s="9">
        <f>[1]BASE!$O13-[1]BASE!$P13</f>
        <v>15000</v>
      </c>
      <c r="R13" s="9" t="s">
        <v>224</v>
      </c>
      <c r="S13" s="9">
        <v>987225655</v>
      </c>
      <c r="T13" s="11" t="s">
        <v>225</v>
      </c>
      <c r="U13" s="15"/>
      <c r="V13" s="15"/>
      <c r="W13" s="15"/>
    </row>
    <row r="14" spans="3:23" x14ac:dyDescent="0.3">
      <c r="C14" s="9">
        <v>162664441</v>
      </c>
      <c r="D14" s="13" t="s">
        <v>58</v>
      </c>
      <c r="E14" s="14" t="s">
        <v>230</v>
      </c>
      <c r="F14" s="9"/>
      <c r="G14" s="9"/>
      <c r="H14" s="9"/>
      <c r="I14" s="9"/>
      <c r="J14" s="9">
        <v>15000</v>
      </c>
      <c r="K14" s="9"/>
      <c r="L14" s="9"/>
      <c r="M14" s="9"/>
      <c r="N14" s="9"/>
      <c r="O14" s="9">
        <f>SUM([1]BASE!$J14:$N14)</f>
        <v>15000</v>
      </c>
      <c r="P14" s="9"/>
      <c r="Q14" s="9">
        <f>[1]BASE!$O14-[1]BASE!$P14</f>
        <v>15000</v>
      </c>
      <c r="R14" s="9" t="s">
        <v>224</v>
      </c>
      <c r="S14" s="9">
        <v>933833057</v>
      </c>
      <c r="T14" s="11" t="s">
        <v>225</v>
      </c>
      <c r="U14" s="15"/>
      <c r="V14" s="15"/>
      <c r="W14" s="15"/>
    </row>
    <row r="15" spans="3:23" x14ac:dyDescent="0.3">
      <c r="C15" s="9">
        <v>96678150</v>
      </c>
      <c r="D15" s="13" t="s">
        <v>59</v>
      </c>
      <c r="E15" s="14" t="s">
        <v>231</v>
      </c>
      <c r="F15" s="9"/>
      <c r="G15" s="9"/>
      <c r="H15" s="9"/>
      <c r="I15" s="9"/>
      <c r="J15" s="9">
        <v>15000</v>
      </c>
      <c r="K15" s="9"/>
      <c r="L15" s="9"/>
      <c r="M15" s="9"/>
      <c r="N15" s="9"/>
      <c r="O15" s="9">
        <f>SUM([1]BASE!$J15:$N15)</f>
        <v>15000</v>
      </c>
      <c r="P15" s="9"/>
      <c r="Q15" s="9">
        <f>[1]BASE!$O15-[1]BASE!$P15</f>
        <v>15000</v>
      </c>
      <c r="R15" s="9" t="s">
        <v>224</v>
      </c>
      <c r="S15" s="9">
        <v>966170514</v>
      </c>
      <c r="T15" s="11" t="s">
        <v>225</v>
      </c>
      <c r="U15" s="15"/>
      <c r="V15" s="15"/>
      <c r="W15" s="15"/>
    </row>
    <row r="16" spans="3:23" x14ac:dyDescent="0.3">
      <c r="C16" s="9">
        <v>137110148</v>
      </c>
      <c r="D16" s="13" t="s">
        <v>68</v>
      </c>
      <c r="E16" s="14" t="s">
        <v>232</v>
      </c>
      <c r="F16" s="9"/>
      <c r="G16" s="9"/>
      <c r="H16" s="9"/>
      <c r="I16" s="9"/>
      <c r="J16" s="9">
        <v>20000</v>
      </c>
      <c r="K16" s="9"/>
      <c r="L16" s="9"/>
      <c r="M16" s="9"/>
      <c r="N16" s="9"/>
      <c r="O16" s="9">
        <f>SUM([1]BASE!$J16:$N16)</f>
        <v>20000</v>
      </c>
      <c r="P16" s="9"/>
      <c r="Q16" s="9">
        <f>[1]BASE!$O16-[1]BASE!$P16</f>
        <v>20000</v>
      </c>
      <c r="R16" s="9" t="s">
        <v>52</v>
      </c>
      <c r="S16" s="9">
        <v>993824827</v>
      </c>
      <c r="T16" s="11" t="s">
        <v>225</v>
      </c>
      <c r="U16" s="15"/>
      <c r="V16" s="15"/>
      <c r="W16" s="15"/>
    </row>
    <row r="17" spans="3:23" x14ac:dyDescent="0.3">
      <c r="C17" s="12" t="s">
        <v>63</v>
      </c>
      <c r="D17" s="13" t="s">
        <v>69</v>
      </c>
      <c r="E17" s="14" t="s">
        <v>233</v>
      </c>
      <c r="F17" s="9"/>
      <c r="G17" s="9"/>
      <c r="H17" s="9"/>
      <c r="I17" s="9"/>
      <c r="J17" s="9">
        <v>15000</v>
      </c>
      <c r="K17" s="9"/>
      <c r="L17" s="9"/>
      <c r="M17" s="9"/>
      <c r="N17" s="9"/>
      <c r="O17" s="9">
        <f>SUM([1]BASE!$J17:$N17)</f>
        <v>15000</v>
      </c>
      <c r="P17" s="9"/>
      <c r="Q17" s="9">
        <f>[1]BASE!$O17-[1]BASE!$P17</f>
        <v>15000</v>
      </c>
      <c r="R17" s="9" t="s">
        <v>224</v>
      </c>
      <c r="S17" s="9">
        <v>978374908</v>
      </c>
      <c r="T17" s="11" t="s">
        <v>225</v>
      </c>
      <c r="U17" s="15"/>
      <c r="V17" s="15"/>
      <c r="W17" s="15"/>
    </row>
    <row r="18" spans="3:23" x14ac:dyDescent="0.3">
      <c r="C18" s="9">
        <v>85203061</v>
      </c>
      <c r="D18" s="13" t="s">
        <v>70</v>
      </c>
      <c r="E18" s="14" t="s">
        <v>234</v>
      </c>
      <c r="F18" s="9"/>
      <c r="G18" s="9"/>
      <c r="H18" s="9"/>
      <c r="I18" s="9"/>
      <c r="J18" s="9">
        <v>15000</v>
      </c>
      <c r="K18" s="9"/>
      <c r="L18" s="9"/>
      <c r="M18" s="9"/>
      <c r="N18" s="9"/>
      <c r="O18" s="9">
        <f>SUM([1]BASE!$J18:$N18)</f>
        <v>15000</v>
      </c>
      <c r="P18" s="9"/>
      <c r="Q18" s="9">
        <f>[1]BASE!$O18-[1]BASE!$P18</f>
        <v>15000</v>
      </c>
      <c r="R18" s="9" t="s">
        <v>224</v>
      </c>
      <c r="S18" s="9">
        <v>957653302</v>
      </c>
      <c r="T18" s="11" t="s">
        <v>225</v>
      </c>
      <c r="U18" s="15"/>
      <c r="V18" s="15"/>
      <c r="W18" s="15"/>
    </row>
    <row r="19" spans="3:23" x14ac:dyDescent="0.3">
      <c r="C19" s="12" t="s">
        <v>64</v>
      </c>
      <c r="D19" s="13" t="s">
        <v>71</v>
      </c>
      <c r="E19" s="14" t="s">
        <v>235</v>
      </c>
      <c r="F19" s="9"/>
      <c r="G19" s="9"/>
      <c r="H19" s="9"/>
      <c r="I19" s="9"/>
      <c r="J19" s="9">
        <v>15000</v>
      </c>
      <c r="K19" s="9"/>
      <c r="L19" s="9"/>
      <c r="M19" s="9"/>
      <c r="N19" s="9"/>
      <c r="O19" s="9">
        <f>SUM([1]BASE!$J19:$N19)</f>
        <v>15000</v>
      </c>
      <c r="P19" s="9"/>
      <c r="Q19" s="9">
        <f>[1]BASE!$O19-[1]BASE!$P19</f>
        <v>15000</v>
      </c>
      <c r="R19" s="9" t="s">
        <v>224</v>
      </c>
      <c r="S19" s="9">
        <v>950463025</v>
      </c>
      <c r="T19" s="11" t="s">
        <v>225</v>
      </c>
      <c r="U19" s="15"/>
      <c r="V19" s="15"/>
      <c r="W19" s="15"/>
    </row>
    <row r="20" spans="3:23" x14ac:dyDescent="0.3">
      <c r="C20" s="12" t="s">
        <v>65</v>
      </c>
      <c r="D20" s="13" t="s">
        <v>72</v>
      </c>
      <c r="E20" s="14" t="s">
        <v>235</v>
      </c>
      <c r="F20" s="9"/>
      <c r="G20" s="9"/>
      <c r="H20" s="9"/>
      <c r="I20" s="9"/>
      <c r="J20" s="9">
        <v>15000</v>
      </c>
      <c r="K20" s="9"/>
      <c r="L20" s="9"/>
      <c r="M20" s="9"/>
      <c r="N20" s="9"/>
      <c r="O20" s="9">
        <f>SUM([1]BASE!$J20:$N20)</f>
        <v>15000</v>
      </c>
      <c r="P20" s="9">
        <v>15000</v>
      </c>
      <c r="Q20" s="9">
        <f>[1]BASE!$O20-[1]BASE!$P20</f>
        <v>0</v>
      </c>
      <c r="R20" s="9" t="s">
        <v>224</v>
      </c>
      <c r="S20" s="9">
        <v>993217942</v>
      </c>
      <c r="T20" s="11" t="s">
        <v>225</v>
      </c>
      <c r="U20" s="15" t="s">
        <v>26</v>
      </c>
      <c r="V20" s="15"/>
      <c r="W20" s="15"/>
    </row>
    <row r="21" spans="3:23" x14ac:dyDescent="0.3">
      <c r="C21" s="12" t="s">
        <v>66</v>
      </c>
      <c r="D21" s="13" t="s">
        <v>73</v>
      </c>
      <c r="E21" s="14" t="s">
        <v>236</v>
      </c>
      <c r="F21" s="9"/>
      <c r="G21" s="9"/>
      <c r="H21" s="9"/>
      <c r="I21" s="9"/>
      <c r="J21" s="9">
        <v>15000</v>
      </c>
      <c r="K21" s="9"/>
      <c r="L21" s="9"/>
      <c r="M21" s="9"/>
      <c r="N21" s="9"/>
      <c r="O21" s="9">
        <f>SUM([1]BASE!$J21:$N21)</f>
        <v>15000</v>
      </c>
      <c r="P21" s="9"/>
      <c r="Q21" s="9">
        <f>[1]BASE!$O21-[1]BASE!$P21</f>
        <v>15000</v>
      </c>
      <c r="R21" s="9" t="s">
        <v>224</v>
      </c>
      <c r="S21" s="9">
        <v>982497858</v>
      </c>
      <c r="T21" s="11" t="s">
        <v>225</v>
      </c>
      <c r="U21" s="15"/>
      <c r="V21" s="15"/>
      <c r="W21" s="15"/>
    </row>
    <row r="22" spans="3:23" x14ac:dyDescent="0.3">
      <c r="C22" s="9">
        <v>60028354</v>
      </c>
      <c r="D22" s="13" t="s">
        <v>74</v>
      </c>
      <c r="E22" s="14" t="s">
        <v>237</v>
      </c>
      <c r="F22" s="9"/>
      <c r="G22" s="9"/>
      <c r="H22" s="9"/>
      <c r="I22" s="9"/>
      <c r="J22" s="9">
        <v>15000</v>
      </c>
      <c r="K22" s="9"/>
      <c r="L22" s="9"/>
      <c r="M22" s="9"/>
      <c r="N22" s="9"/>
      <c r="O22" s="9">
        <f>SUM([1]BASE!$J22:$N22)</f>
        <v>15000</v>
      </c>
      <c r="P22" s="9"/>
      <c r="Q22" s="9">
        <f>[1]BASE!$O22-[1]BASE!$P22</f>
        <v>15000</v>
      </c>
      <c r="R22" s="9" t="s">
        <v>224</v>
      </c>
      <c r="S22" s="9">
        <v>973859760</v>
      </c>
      <c r="T22" s="11" t="s">
        <v>225</v>
      </c>
      <c r="U22" s="15"/>
      <c r="V22" s="15"/>
      <c r="W22" s="15"/>
    </row>
    <row r="23" spans="3:23" x14ac:dyDescent="0.3">
      <c r="C23" s="9">
        <v>167490530</v>
      </c>
      <c r="D23" s="13" t="s">
        <v>75</v>
      </c>
      <c r="E23" s="14" t="s">
        <v>238</v>
      </c>
      <c r="F23" s="9">
        <v>91225</v>
      </c>
      <c r="G23" s="9"/>
      <c r="H23" s="9"/>
      <c r="I23" s="9"/>
      <c r="J23" s="9">
        <v>15000</v>
      </c>
      <c r="K23" s="9">
        <v>15000</v>
      </c>
      <c r="L23" s="9"/>
      <c r="M23" s="9"/>
      <c r="N23" s="9"/>
      <c r="O23" s="9">
        <f>SUM([1]BASE!$J23:$N23)</f>
        <v>30000</v>
      </c>
      <c r="P23" s="9"/>
      <c r="Q23" s="9">
        <f>[1]BASE!$O23-[1]BASE!$P23</f>
        <v>30000</v>
      </c>
      <c r="R23" s="9" t="s">
        <v>224</v>
      </c>
      <c r="S23" s="9">
        <v>999120999</v>
      </c>
      <c r="T23" s="11" t="s">
        <v>225</v>
      </c>
      <c r="U23" s="15"/>
      <c r="V23" s="15"/>
      <c r="W23" s="15"/>
    </row>
    <row r="24" spans="3:23" x14ac:dyDescent="0.3">
      <c r="C24" s="12" t="s">
        <v>67</v>
      </c>
      <c r="D24" s="13" t="s">
        <v>76</v>
      </c>
      <c r="E24" s="14" t="s">
        <v>238</v>
      </c>
      <c r="F24" s="9"/>
      <c r="G24" s="9"/>
      <c r="H24" s="9"/>
      <c r="I24" s="9"/>
      <c r="J24" s="9">
        <v>15000</v>
      </c>
      <c r="K24" s="9"/>
      <c r="L24" s="9"/>
      <c r="M24" s="9"/>
      <c r="N24" s="9"/>
      <c r="O24" s="9">
        <f>SUM([1]BASE!$J24:$N24)</f>
        <v>15000</v>
      </c>
      <c r="P24" s="9"/>
      <c r="Q24" s="9">
        <f>[1]BASE!$O24-[1]BASE!$P24</f>
        <v>15000</v>
      </c>
      <c r="R24" s="9" t="s">
        <v>224</v>
      </c>
      <c r="S24" s="9">
        <v>982568633</v>
      </c>
      <c r="T24" s="11" t="s">
        <v>225</v>
      </c>
      <c r="U24" s="15"/>
      <c r="V24" s="15"/>
      <c r="W24" s="15"/>
    </row>
    <row r="25" spans="3:23" x14ac:dyDescent="0.3">
      <c r="C25" s="9">
        <v>91217791</v>
      </c>
      <c r="D25" s="13" t="s">
        <v>77</v>
      </c>
      <c r="E25" s="14" t="s">
        <v>238</v>
      </c>
      <c r="F25" s="9"/>
      <c r="G25" s="9"/>
      <c r="H25" s="9"/>
      <c r="I25" s="9"/>
      <c r="J25" s="9">
        <v>15000</v>
      </c>
      <c r="K25" s="9"/>
      <c r="L25" s="9"/>
      <c r="M25" s="9"/>
      <c r="N25" s="9"/>
      <c r="O25" s="9">
        <f>SUM([1]BASE!$J25:$N25)</f>
        <v>15000</v>
      </c>
      <c r="P25" s="9"/>
      <c r="Q25" s="9">
        <f>[1]BASE!$O25-[1]BASE!$P25</f>
        <v>15000</v>
      </c>
      <c r="R25" s="9" t="s">
        <v>224</v>
      </c>
      <c r="S25" s="9">
        <v>982401232</v>
      </c>
      <c r="T25" s="11" t="s">
        <v>225</v>
      </c>
      <c r="U25" s="15"/>
      <c r="V25" s="15"/>
      <c r="W25" s="15"/>
    </row>
    <row r="26" spans="3:23" x14ac:dyDescent="0.3">
      <c r="C26" s="9">
        <v>77758178</v>
      </c>
      <c r="D26" s="13" t="s">
        <v>78</v>
      </c>
      <c r="E26" s="14" t="s">
        <v>238</v>
      </c>
      <c r="F26" s="9"/>
      <c r="G26" s="9"/>
      <c r="H26" s="9"/>
      <c r="I26" s="9"/>
      <c r="J26" s="9">
        <v>15000</v>
      </c>
      <c r="K26" s="9"/>
      <c r="L26" s="9"/>
      <c r="M26" s="9"/>
      <c r="N26" s="9"/>
      <c r="O26" s="9">
        <f>SUM([1]BASE!$J26:$N26)</f>
        <v>15000</v>
      </c>
      <c r="P26" s="9">
        <v>12000</v>
      </c>
      <c r="Q26" s="9">
        <f>[1]BASE!$O26-[1]BASE!$P26</f>
        <v>3000</v>
      </c>
      <c r="R26" s="9" t="s">
        <v>224</v>
      </c>
      <c r="S26" s="9">
        <v>966573356</v>
      </c>
      <c r="T26" s="11" t="s">
        <v>225</v>
      </c>
      <c r="U26" s="15"/>
      <c r="V26" s="15"/>
      <c r="W26" s="15"/>
    </row>
    <row r="27" spans="3:23" x14ac:dyDescent="0.3">
      <c r="C27" s="9">
        <v>86655004</v>
      </c>
      <c r="D27" s="13" t="s">
        <v>79</v>
      </c>
      <c r="E27" s="14" t="s">
        <v>238</v>
      </c>
      <c r="F27" s="9"/>
      <c r="G27" s="9"/>
      <c r="H27" s="9"/>
      <c r="I27" s="9"/>
      <c r="J27" s="9">
        <v>15000</v>
      </c>
      <c r="K27" s="9"/>
      <c r="L27" s="9"/>
      <c r="M27" s="9"/>
      <c r="N27" s="9"/>
      <c r="O27" s="9">
        <f>SUM([1]BASE!$J27:$N27)</f>
        <v>15000</v>
      </c>
      <c r="P27" s="9"/>
      <c r="Q27" s="9">
        <f>[1]BASE!$O27-[1]BASE!$P27</f>
        <v>15000</v>
      </c>
      <c r="R27" s="9" t="s">
        <v>224</v>
      </c>
      <c r="S27" s="9">
        <v>935549748</v>
      </c>
      <c r="T27" s="11" t="s">
        <v>225</v>
      </c>
      <c r="U27" s="15"/>
      <c r="V27" s="15"/>
      <c r="W27" s="15"/>
    </row>
    <row r="28" spans="3:23" x14ac:dyDescent="0.3">
      <c r="C28" s="9">
        <v>169553130</v>
      </c>
      <c r="D28" s="13" t="s">
        <v>80</v>
      </c>
      <c r="E28" s="14" t="s">
        <v>238</v>
      </c>
      <c r="F28" s="9"/>
      <c r="G28" s="9"/>
      <c r="H28" s="9"/>
      <c r="I28" s="9"/>
      <c r="J28" s="9">
        <v>15000</v>
      </c>
      <c r="K28" s="9"/>
      <c r="L28" s="9"/>
      <c r="M28" s="9"/>
      <c r="N28" s="9"/>
      <c r="O28" s="9">
        <f>SUM([1]BASE!$J28:$N28)</f>
        <v>15000</v>
      </c>
      <c r="P28" s="9"/>
      <c r="Q28" s="9">
        <f>[1]BASE!$O28-[1]BASE!$P28</f>
        <v>15000</v>
      </c>
      <c r="R28" s="9" t="s">
        <v>224</v>
      </c>
      <c r="S28" s="9">
        <v>961307239</v>
      </c>
      <c r="T28" s="11" t="s">
        <v>225</v>
      </c>
      <c r="U28" s="15"/>
      <c r="V28" s="15"/>
      <c r="W28" s="15"/>
    </row>
    <row r="29" spans="3:23" x14ac:dyDescent="0.3">
      <c r="C29" s="9">
        <v>200122305</v>
      </c>
      <c r="D29" s="13" t="s">
        <v>81</v>
      </c>
      <c r="E29" s="14" t="s">
        <v>239</v>
      </c>
      <c r="F29" s="9"/>
      <c r="G29" s="9"/>
      <c r="H29" s="9"/>
      <c r="I29" s="9"/>
      <c r="J29" s="9">
        <v>15000</v>
      </c>
      <c r="K29" s="9"/>
      <c r="L29" s="9"/>
      <c r="M29" s="9"/>
      <c r="N29" s="9"/>
      <c r="O29" s="9">
        <f>SUM([1]BASE!$J29:$N29)</f>
        <v>15000</v>
      </c>
      <c r="P29" s="9"/>
      <c r="Q29" s="9">
        <f>[1]BASE!$O29-[1]BASE!$P29</f>
        <v>15000</v>
      </c>
      <c r="R29" s="9" t="s">
        <v>224</v>
      </c>
      <c r="S29" s="9">
        <v>966440173</v>
      </c>
      <c r="T29" s="11" t="s">
        <v>225</v>
      </c>
      <c r="U29" s="15"/>
      <c r="V29" s="15"/>
      <c r="W29" s="15"/>
    </row>
    <row r="30" spans="3:23" x14ac:dyDescent="0.3">
      <c r="C30" s="9">
        <v>78916729</v>
      </c>
      <c r="D30" s="13" t="s">
        <v>82</v>
      </c>
      <c r="E30" s="14" t="s">
        <v>240</v>
      </c>
      <c r="F30" s="9"/>
      <c r="G30" s="9"/>
      <c r="H30" s="9"/>
      <c r="I30" s="9"/>
      <c r="J30" s="9">
        <v>15000</v>
      </c>
      <c r="K30" s="9"/>
      <c r="L30" s="9"/>
      <c r="M30" s="9"/>
      <c r="N30" s="9"/>
      <c r="O30" s="9">
        <f>SUM([1]BASE!$J30:$N30)</f>
        <v>15000</v>
      </c>
      <c r="P30" s="9"/>
      <c r="Q30" s="9">
        <f>[1]BASE!$O30-[1]BASE!$P30</f>
        <v>15000</v>
      </c>
      <c r="R30" s="9" t="s">
        <v>224</v>
      </c>
      <c r="S30" s="9">
        <v>981894769</v>
      </c>
      <c r="T30" s="11" t="s">
        <v>225</v>
      </c>
      <c r="U30" s="15"/>
      <c r="V30" s="15"/>
      <c r="W30" s="15"/>
    </row>
    <row r="31" spans="3:23" x14ac:dyDescent="0.3">
      <c r="C31" s="9">
        <v>257665356</v>
      </c>
      <c r="D31" s="13" t="s">
        <v>83</v>
      </c>
      <c r="E31" s="14" t="s">
        <v>240</v>
      </c>
      <c r="F31" s="9"/>
      <c r="G31" s="9"/>
      <c r="H31" s="9"/>
      <c r="I31" s="9"/>
      <c r="J31" s="9">
        <v>15000</v>
      </c>
      <c r="K31" s="9"/>
      <c r="L31" s="9"/>
      <c r="M31" s="9"/>
      <c r="N31" s="9"/>
      <c r="O31" s="9">
        <f>SUM([1]BASE!$J31:$N31)</f>
        <v>15000</v>
      </c>
      <c r="P31" s="9"/>
      <c r="Q31" s="9">
        <f>[1]BASE!$O31-[1]BASE!$P31</f>
        <v>15000</v>
      </c>
      <c r="R31" s="9" t="s">
        <v>224</v>
      </c>
      <c r="S31" s="9">
        <v>967359491</v>
      </c>
      <c r="T31" s="11" t="s">
        <v>225</v>
      </c>
      <c r="U31" s="15"/>
      <c r="V31" s="15"/>
      <c r="W31" s="15"/>
    </row>
    <row r="32" spans="3:23" x14ac:dyDescent="0.3">
      <c r="C32" s="9">
        <v>151913113</v>
      </c>
      <c r="D32" s="13" t="s">
        <v>84</v>
      </c>
      <c r="E32" s="14" t="s">
        <v>241</v>
      </c>
      <c r="F32" s="9"/>
      <c r="G32" s="9"/>
      <c r="H32" s="9"/>
      <c r="I32" s="9"/>
      <c r="J32" s="9">
        <v>15000</v>
      </c>
      <c r="K32" s="9"/>
      <c r="L32" s="9"/>
      <c r="M32" s="9"/>
      <c r="N32" s="9"/>
      <c r="O32" s="9">
        <f>SUM([1]BASE!$J32:$N32)</f>
        <v>15000</v>
      </c>
      <c r="P32" s="9"/>
      <c r="Q32" s="9">
        <f>[1]BASE!$O32-[1]BASE!$P32</f>
        <v>15000</v>
      </c>
      <c r="R32" s="9" t="s">
        <v>224</v>
      </c>
      <c r="S32" s="9">
        <v>991508585</v>
      </c>
      <c r="T32" s="11" t="s">
        <v>225</v>
      </c>
      <c r="U32" s="15"/>
      <c r="V32" s="15"/>
      <c r="W32" s="15"/>
    </row>
    <row r="33" spans="3:23" x14ac:dyDescent="0.3">
      <c r="C33" s="9">
        <v>71546276</v>
      </c>
      <c r="D33" s="13" t="s">
        <v>85</v>
      </c>
      <c r="E33" s="14" t="s">
        <v>241</v>
      </c>
      <c r="F33" s="9"/>
      <c r="G33" s="9"/>
      <c r="H33" s="9"/>
      <c r="I33" s="9"/>
      <c r="J33" s="9">
        <v>15000</v>
      </c>
      <c r="K33" s="9"/>
      <c r="L33" s="9"/>
      <c r="M33" s="9"/>
      <c r="N33" s="9"/>
      <c r="O33" s="9">
        <f>SUM([1]BASE!$J33:$N33)</f>
        <v>15000</v>
      </c>
      <c r="P33" s="9"/>
      <c r="Q33" s="9">
        <f>[1]BASE!$O33-[1]BASE!$P33</f>
        <v>15000</v>
      </c>
      <c r="R33" s="9" t="s">
        <v>224</v>
      </c>
      <c r="S33" s="9">
        <v>992375295</v>
      </c>
      <c r="T33" s="11" t="s">
        <v>225</v>
      </c>
      <c r="U33" s="15"/>
      <c r="V33" s="15"/>
      <c r="W33" s="15"/>
    </row>
    <row r="34" spans="3:23" x14ac:dyDescent="0.3">
      <c r="C34" s="9">
        <v>99683627</v>
      </c>
      <c r="D34" s="13" t="s">
        <v>86</v>
      </c>
      <c r="E34" s="14" t="s">
        <v>236</v>
      </c>
      <c r="F34" s="9"/>
      <c r="G34" s="9"/>
      <c r="H34" s="9"/>
      <c r="I34" s="9"/>
      <c r="J34" s="9">
        <v>15000</v>
      </c>
      <c r="K34" s="9"/>
      <c r="L34" s="9"/>
      <c r="M34" s="9"/>
      <c r="N34" s="9"/>
      <c r="O34" s="9">
        <f>SUM([1]BASE!$J34:$N34)</f>
        <v>15000</v>
      </c>
      <c r="P34" s="9"/>
      <c r="Q34" s="9">
        <f>[1]BASE!$O34-[1]BASE!$P34</f>
        <v>15000</v>
      </c>
      <c r="R34" s="9" t="s">
        <v>224</v>
      </c>
      <c r="S34" s="9">
        <v>978545030</v>
      </c>
      <c r="T34" s="11" t="s">
        <v>225</v>
      </c>
      <c r="U34" s="15"/>
      <c r="V34" s="15"/>
      <c r="W34" s="15"/>
    </row>
    <row r="35" spans="3:23" x14ac:dyDescent="0.3">
      <c r="C35" s="12" t="s">
        <v>87</v>
      </c>
      <c r="D35" s="13" t="s">
        <v>88</v>
      </c>
      <c r="E35" s="14" t="s">
        <v>242</v>
      </c>
      <c r="F35" s="9"/>
      <c r="G35" s="9"/>
      <c r="H35" s="9"/>
      <c r="I35" s="9"/>
      <c r="J35" s="9">
        <v>15000</v>
      </c>
      <c r="K35" s="9"/>
      <c r="L35" s="9"/>
      <c r="M35" s="9"/>
      <c r="N35" s="9"/>
      <c r="O35" s="9">
        <f>SUM([1]BASE!$J35:$N35)</f>
        <v>15000</v>
      </c>
      <c r="P35" s="9"/>
      <c r="Q35" s="9">
        <f>[1]BASE!$O35-[1]BASE!$P35</f>
        <v>15000</v>
      </c>
      <c r="R35" s="9" t="s">
        <v>224</v>
      </c>
      <c r="S35" s="9">
        <v>998193675</v>
      </c>
      <c r="T35" s="11" t="s">
        <v>225</v>
      </c>
      <c r="U35" s="15"/>
      <c r="V35" s="15"/>
      <c r="W35" s="15"/>
    </row>
    <row r="36" spans="3:23" x14ac:dyDescent="0.3">
      <c r="C36" s="9">
        <v>214195828</v>
      </c>
      <c r="D36" s="13" t="s">
        <v>98</v>
      </c>
      <c r="E36" s="14" t="s">
        <v>243</v>
      </c>
      <c r="F36" s="9"/>
      <c r="G36" s="9"/>
      <c r="H36" s="9"/>
      <c r="I36" s="9"/>
      <c r="J36" s="9">
        <v>15000</v>
      </c>
      <c r="K36" s="9"/>
      <c r="L36" s="9"/>
      <c r="M36" s="9"/>
      <c r="N36" s="9"/>
      <c r="O36" s="9">
        <f>SUM([1]BASE!$J36:$N36)</f>
        <v>15000</v>
      </c>
      <c r="P36" s="9"/>
      <c r="Q36" s="9">
        <f>[1]BASE!$O36-[1]BASE!$P36</f>
        <v>15000</v>
      </c>
      <c r="R36" s="9" t="s">
        <v>224</v>
      </c>
      <c r="S36" s="9">
        <v>998739856</v>
      </c>
      <c r="T36" s="11" t="s">
        <v>225</v>
      </c>
      <c r="U36" s="15"/>
      <c r="V36" s="15"/>
      <c r="W36" s="15"/>
    </row>
    <row r="37" spans="3:23" x14ac:dyDescent="0.3">
      <c r="C37" s="9">
        <v>137627930</v>
      </c>
      <c r="D37" s="16" t="s">
        <v>99</v>
      </c>
      <c r="E37" s="14" t="s">
        <v>244</v>
      </c>
      <c r="F37" s="9"/>
      <c r="G37" s="9"/>
      <c r="H37" s="9"/>
      <c r="I37" s="9"/>
      <c r="J37" s="9">
        <v>15000</v>
      </c>
      <c r="K37" s="9"/>
      <c r="L37" s="9"/>
      <c r="M37" s="9"/>
      <c r="N37" s="9"/>
      <c r="O37" s="9">
        <f>SUM([1]BASE!$J37:$N37)</f>
        <v>15000</v>
      </c>
      <c r="P37" s="9"/>
      <c r="Q37" s="9">
        <f>[1]BASE!$O37-[1]BASE!$P37</f>
        <v>15000</v>
      </c>
      <c r="R37" s="9" t="s">
        <v>224</v>
      </c>
      <c r="S37" s="9">
        <v>990838621</v>
      </c>
      <c r="T37" s="11" t="s">
        <v>225</v>
      </c>
      <c r="U37" s="15"/>
      <c r="V37" s="15"/>
      <c r="W37" s="15"/>
    </row>
    <row r="38" spans="3:23" x14ac:dyDescent="0.3">
      <c r="C38" s="9">
        <v>153371164</v>
      </c>
      <c r="D38" s="16" t="s">
        <v>100</v>
      </c>
      <c r="E38" s="14" t="s">
        <v>245</v>
      </c>
      <c r="F38" s="9">
        <v>6012026</v>
      </c>
      <c r="G38" s="9"/>
      <c r="H38" s="9"/>
      <c r="I38" s="9"/>
      <c r="J38" s="9">
        <v>15000</v>
      </c>
      <c r="K38" s="9">
        <v>15000</v>
      </c>
      <c r="L38" s="9"/>
      <c r="M38" s="9"/>
      <c r="N38" s="9"/>
      <c r="O38" s="9">
        <f>SUM([1]BASE!$J38:$N38)</f>
        <v>30000</v>
      </c>
      <c r="P38" s="9">
        <v>15000</v>
      </c>
      <c r="Q38" s="9">
        <f>[1]BASE!$O38-[1]BASE!$P38</f>
        <v>15000</v>
      </c>
      <c r="R38" s="9" t="s">
        <v>224</v>
      </c>
      <c r="S38" s="9">
        <v>961435078</v>
      </c>
      <c r="T38" s="11" t="s">
        <v>225</v>
      </c>
      <c r="U38" s="15"/>
      <c r="V38" s="15"/>
      <c r="W38" s="15"/>
    </row>
    <row r="39" spans="3:23" x14ac:dyDescent="0.3">
      <c r="C39" s="9">
        <v>126672985</v>
      </c>
      <c r="D39" s="16" t="s">
        <v>102</v>
      </c>
      <c r="E39" s="14" t="s">
        <v>246</v>
      </c>
      <c r="F39" s="9"/>
      <c r="G39" s="9"/>
      <c r="H39" s="9"/>
      <c r="I39" s="9"/>
      <c r="J39" s="9">
        <v>15000</v>
      </c>
      <c r="K39" s="9"/>
      <c r="L39" s="9"/>
      <c r="M39" s="9"/>
      <c r="N39" s="9"/>
      <c r="O39" s="9">
        <f>SUM([1]BASE!$J39:$N39)</f>
        <v>15000</v>
      </c>
      <c r="P39" s="9"/>
      <c r="Q39" s="9">
        <f>[1]BASE!$O39-[1]BASE!$P39</f>
        <v>15000</v>
      </c>
      <c r="R39" s="9" t="s">
        <v>224</v>
      </c>
      <c r="S39" s="9">
        <v>933547076</v>
      </c>
      <c r="T39" s="11" t="s">
        <v>225</v>
      </c>
      <c r="U39" s="15"/>
      <c r="V39" s="15"/>
      <c r="W39" s="15"/>
    </row>
    <row r="40" spans="3:23" x14ac:dyDescent="0.3">
      <c r="C40" s="9">
        <v>209116901</v>
      </c>
      <c r="D40" s="16" t="s">
        <v>103</v>
      </c>
      <c r="E40" s="14" t="s">
        <v>246</v>
      </c>
      <c r="F40" s="9"/>
      <c r="G40" s="9"/>
      <c r="H40" s="9"/>
      <c r="I40" s="9"/>
      <c r="J40" s="9">
        <v>15000</v>
      </c>
      <c r="K40" s="9"/>
      <c r="L40" s="9"/>
      <c r="M40" s="9"/>
      <c r="N40" s="9"/>
      <c r="O40" s="9">
        <f>SUM([1]BASE!$J40:$N40)</f>
        <v>15000</v>
      </c>
      <c r="P40" s="9"/>
      <c r="Q40" s="9">
        <f>[1]BASE!$O40-[1]BASE!$P40</f>
        <v>15000</v>
      </c>
      <c r="R40" s="9" t="s">
        <v>224</v>
      </c>
      <c r="S40" s="9">
        <v>975328555</v>
      </c>
      <c r="T40" s="11" t="s">
        <v>225</v>
      </c>
      <c r="U40" s="15"/>
      <c r="V40" s="15"/>
      <c r="W40" s="15"/>
    </row>
    <row r="41" spans="3:23" x14ac:dyDescent="0.3">
      <c r="C41" s="9">
        <v>120366459</v>
      </c>
      <c r="D41" s="16" t="s">
        <v>104</v>
      </c>
      <c r="E41" s="14" t="s">
        <v>247</v>
      </c>
      <c r="F41" s="9"/>
      <c r="G41" s="9"/>
      <c r="H41" s="9"/>
      <c r="I41" s="9"/>
      <c r="J41" s="9">
        <v>15000</v>
      </c>
      <c r="K41" s="9"/>
      <c r="L41" s="9"/>
      <c r="M41" s="9"/>
      <c r="N41" s="9"/>
      <c r="O41" s="9">
        <f>SUM([1]BASE!$J41:$N41)</f>
        <v>15000</v>
      </c>
      <c r="P41" s="9"/>
      <c r="Q41" s="9">
        <f>[1]BASE!$O41-[1]BASE!$P41</f>
        <v>15000</v>
      </c>
      <c r="R41" s="9" t="s">
        <v>224</v>
      </c>
      <c r="S41" s="9">
        <v>966644061</v>
      </c>
      <c r="T41" s="11" t="s">
        <v>225</v>
      </c>
      <c r="U41" s="15"/>
      <c r="V41" s="15"/>
      <c r="W41" s="15"/>
    </row>
    <row r="42" spans="3:23" x14ac:dyDescent="0.3">
      <c r="C42" s="9">
        <v>73666732</v>
      </c>
      <c r="D42" s="16" t="s">
        <v>105</v>
      </c>
      <c r="E42" s="14" t="s">
        <v>248</v>
      </c>
      <c r="F42" s="9"/>
      <c r="G42" s="9"/>
      <c r="H42" s="9"/>
      <c r="I42" s="9"/>
      <c r="J42" s="9">
        <v>15000</v>
      </c>
      <c r="K42" s="9"/>
      <c r="L42" s="9"/>
      <c r="M42" s="9"/>
      <c r="N42" s="9"/>
      <c r="O42" s="9">
        <f>SUM([1]BASE!$J42:$N42)</f>
        <v>15000</v>
      </c>
      <c r="P42" s="9"/>
      <c r="Q42" s="9">
        <f>[1]BASE!$O42-[1]BASE!$P42</f>
        <v>15000</v>
      </c>
      <c r="R42" s="9" t="s">
        <v>224</v>
      </c>
      <c r="S42" s="9">
        <v>993336572</v>
      </c>
      <c r="T42" s="11" t="s">
        <v>225</v>
      </c>
      <c r="U42" s="15"/>
      <c r="V42" s="15"/>
      <c r="W42" s="15"/>
    </row>
    <row r="43" spans="3:23" x14ac:dyDescent="0.3">
      <c r="C43" s="9">
        <v>109681253</v>
      </c>
      <c r="D43" s="16" t="s">
        <v>106</v>
      </c>
      <c r="E43" s="14" t="s">
        <v>249</v>
      </c>
      <c r="F43" s="9"/>
      <c r="G43" s="9"/>
      <c r="H43" s="9"/>
      <c r="I43" s="9"/>
      <c r="J43" s="9">
        <v>15000</v>
      </c>
      <c r="K43" s="9"/>
      <c r="L43" s="9"/>
      <c r="M43" s="9"/>
      <c r="N43" s="9"/>
      <c r="O43" s="9">
        <f>SUM([1]BASE!$J43:$N43)</f>
        <v>15000</v>
      </c>
      <c r="P43" s="9"/>
      <c r="Q43" s="9">
        <f>[1]BASE!$O43-[1]BASE!$P43</f>
        <v>15000</v>
      </c>
      <c r="R43" s="9" t="s">
        <v>224</v>
      </c>
      <c r="S43" s="9">
        <v>990516714</v>
      </c>
      <c r="T43" s="11" t="s">
        <v>225</v>
      </c>
      <c r="U43" s="15"/>
      <c r="V43" s="15"/>
      <c r="W43" s="15"/>
    </row>
    <row r="44" spans="3:23" x14ac:dyDescent="0.3">
      <c r="C44" s="9">
        <v>67689178</v>
      </c>
      <c r="D44" s="16" t="s">
        <v>107</v>
      </c>
      <c r="E44" s="14" t="s">
        <v>249</v>
      </c>
      <c r="F44" s="9"/>
      <c r="G44" s="9"/>
      <c r="H44" s="9"/>
      <c r="I44" s="9"/>
      <c r="J44" s="9">
        <v>15000</v>
      </c>
      <c r="K44" s="9"/>
      <c r="L44" s="9"/>
      <c r="M44" s="9"/>
      <c r="N44" s="9"/>
      <c r="O44" s="9">
        <f>SUM([1]BASE!$J44:$N44)</f>
        <v>15000</v>
      </c>
      <c r="P44" s="9"/>
      <c r="Q44" s="9">
        <f>[1]BASE!$O44-[1]BASE!$P44</f>
        <v>15000</v>
      </c>
      <c r="R44" s="9" t="s">
        <v>224</v>
      </c>
      <c r="S44" s="9">
        <v>976972463</v>
      </c>
      <c r="T44" s="11" t="s">
        <v>225</v>
      </c>
      <c r="U44" s="15"/>
      <c r="V44" s="15"/>
      <c r="W44" s="15"/>
    </row>
    <row r="45" spans="3:23" x14ac:dyDescent="0.3">
      <c r="C45" s="9">
        <v>132459169</v>
      </c>
      <c r="D45" s="16" t="s">
        <v>108</v>
      </c>
      <c r="E45" s="14" t="s">
        <v>250</v>
      </c>
      <c r="F45" s="9"/>
      <c r="G45" s="9"/>
      <c r="H45" s="9"/>
      <c r="I45" s="9"/>
      <c r="J45" s="9">
        <v>15000</v>
      </c>
      <c r="K45" s="9"/>
      <c r="L45" s="9"/>
      <c r="M45" s="9"/>
      <c r="N45" s="9"/>
      <c r="O45" s="9">
        <f>SUM([1]BASE!$J45:$N45)</f>
        <v>15000</v>
      </c>
      <c r="P45" s="9"/>
      <c r="Q45" s="9">
        <f>[1]BASE!$O45-[1]BASE!$P45</f>
        <v>15000</v>
      </c>
      <c r="R45" s="9" t="s">
        <v>224</v>
      </c>
      <c r="S45" s="9">
        <v>978391620</v>
      </c>
      <c r="T45" s="11" t="s">
        <v>225</v>
      </c>
      <c r="U45" s="15"/>
      <c r="V45" s="15"/>
      <c r="W45" s="15"/>
    </row>
    <row r="46" spans="3:23" x14ac:dyDescent="0.3">
      <c r="C46" s="9">
        <v>55223521</v>
      </c>
      <c r="D46" s="16" t="s">
        <v>109</v>
      </c>
      <c r="E46" s="14" t="s">
        <v>250</v>
      </c>
      <c r="F46" s="9"/>
      <c r="G46" s="9"/>
      <c r="H46" s="9"/>
      <c r="I46" s="9"/>
      <c r="J46" s="9">
        <v>15000</v>
      </c>
      <c r="K46" s="9"/>
      <c r="L46" s="9"/>
      <c r="M46" s="9"/>
      <c r="N46" s="9"/>
      <c r="O46" s="9">
        <f>SUM([1]BASE!$J46:$N46)</f>
        <v>15000</v>
      </c>
      <c r="P46" s="9">
        <v>15000</v>
      </c>
      <c r="Q46" s="9">
        <f>[1]BASE!$O46-[1]BASE!$P46</f>
        <v>0</v>
      </c>
      <c r="R46" s="9" t="s">
        <v>224</v>
      </c>
      <c r="S46" s="9">
        <v>993357792</v>
      </c>
      <c r="T46" s="11" t="s">
        <v>225</v>
      </c>
      <c r="U46" s="15"/>
      <c r="V46" s="15"/>
      <c r="W46" s="15"/>
    </row>
    <row r="47" spans="3:23" x14ac:dyDescent="0.3">
      <c r="C47" s="9">
        <v>153176760</v>
      </c>
      <c r="D47" s="16" t="s">
        <v>110</v>
      </c>
      <c r="E47" s="14" t="s">
        <v>250</v>
      </c>
      <c r="F47" s="9"/>
      <c r="G47" s="9"/>
      <c r="H47" s="9"/>
      <c r="I47" s="9"/>
      <c r="J47" s="9">
        <v>15000</v>
      </c>
      <c r="K47" s="9"/>
      <c r="L47" s="9"/>
      <c r="M47" s="9"/>
      <c r="N47" s="9"/>
      <c r="O47" s="9">
        <f>SUM([1]BASE!$J47:$N47)</f>
        <v>15000</v>
      </c>
      <c r="P47" s="9"/>
      <c r="Q47" s="9">
        <f>[1]BASE!$O47-[1]BASE!$P47</f>
        <v>15000</v>
      </c>
      <c r="R47" s="9" t="s">
        <v>224</v>
      </c>
      <c r="S47" s="9">
        <v>987902007</v>
      </c>
      <c r="T47" s="11" t="s">
        <v>225</v>
      </c>
      <c r="U47" s="15"/>
      <c r="V47" s="15"/>
      <c r="W47" s="15"/>
    </row>
    <row r="48" spans="3:23" x14ac:dyDescent="0.3">
      <c r="C48" s="9">
        <v>83311746</v>
      </c>
      <c r="D48" s="16" t="s">
        <v>111</v>
      </c>
      <c r="E48" s="14" t="s">
        <v>251</v>
      </c>
      <c r="F48" s="9"/>
      <c r="G48" s="9"/>
      <c r="H48" s="9"/>
      <c r="I48" s="9"/>
      <c r="J48" s="9">
        <v>15000</v>
      </c>
      <c r="K48" s="9"/>
      <c r="L48" s="9"/>
      <c r="M48" s="9"/>
      <c r="N48" s="9"/>
      <c r="O48" s="9">
        <f>SUM([1]BASE!$J48:$N48)</f>
        <v>15000</v>
      </c>
      <c r="P48" s="9"/>
      <c r="Q48" s="9">
        <f>[1]BASE!$O48-[1]BASE!$P48</f>
        <v>15000</v>
      </c>
      <c r="R48" s="9" t="s">
        <v>224</v>
      </c>
      <c r="S48" s="9">
        <v>986696637</v>
      </c>
      <c r="T48" s="11" t="s">
        <v>225</v>
      </c>
      <c r="U48" s="15"/>
      <c r="V48" s="15"/>
      <c r="W48" s="15"/>
    </row>
    <row r="49" spans="3:23" x14ac:dyDescent="0.3">
      <c r="C49" s="9">
        <v>58613940</v>
      </c>
      <c r="D49" s="16" t="s">
        <v>112</v>
      </c>
      <c r="E49" s="14" t="s">
        <v>252</v>
      </c>
      <c r="F49" s="9"/>
      <c r="G49" s="9"/>
      <c r="H49" s="9"/>
      <c r="I49" s="9"/>
      <c r="J49" s="9">
        <v>15000</v>
      </c>
      <c r="K49" s="9"/>
      <c r="L49" s="9"/>
      <c r="M49" s="9"/>
      <c r="N49" s="9"/>
      <c r="O49" s="9">
        <f>SUM([1]BASE!$J49:$N49)</f>
        <v>15000</v>
      </c>
      <c r="P49" s="9"/>
      <c r="Q49" s="9">
        <f>[1]BASE!$O49-[1]BASE!$P49</f>
        <v>15000</v>
      </c>
      <c r="R49" s="9" t="s">
        <v>224</v>
      </c>
      <c r="S49" s="9">
        <v>975395805</v>
      </c>
      <c r="T49" s="11" t="s">
        <v>225</v>
      </c>
      <c r="U49" s="15"/>
      <c r="V49" s="15"/>
      <c r="W49" s="15"/>
    </row>
    <row r="50" spans="3:23" x14ac:dyDescent="0.3">
      <c r="C50" s="9">
        <v>78131217</v>
      </c>
      <c r="D50" s="16" t="s">
        <v>113</v>
      </c>
      <c r="E50" s="14" t="s">
        <v>253</v>
      </c>
      <c r="F50" s="9"/>
      <c r="G50" s="9"/>
      <c r="H50" s="9"/>
      <c r="I50" s="9"/>
      <c r="J50" s="9">
        <v>15000</v>
      </c>
      <c r="K50" s="9"/>
      <c r="L50" s="9"/>
      <c r="M50" s="9"/>
      <c r="N50" s="9"/>
      <c r="O50" s="9">
        <f>SUM([1]BASE!$J50:$N50)</f>
        <v>15000</v>
      </c>
      <c r="P50" s="9"/>
      <c r="Q50" s="9">
        <f>[1]BASE!$O50-[1]BASE!$P50</f>
        <v>15000</v>
      </c>
      <c r="R50" s="9" t="s">
        <v>224</v>
      </c>
      <c r="S50" s="9">
        <v>962482925</v>
      </c>
      <c r="T50" s="11" t="s">
        <v>225</v>
      </c>
      <c r="U50" s="15"/>
      <c r="V50" s="15"/>
      <c r="W50" s="15"/>
    </row>
    <row r="51" spans="3:23" x14ac:dyDescent="0.3">
      <c r="C51" s="9">
        <v>170743172</v>
      </c>
      <c r="D51" s="16" t="s">
        <v>114</v>
      </c>
      <c r="E51" s="14" t="s">
        <v>243</v>
      </c>
      <c r="F51" s="9"/>
      <c r="G51" s="9"/>
      <c r="H51" s="9"/>
      <c r="I51" s="9"/>
      <c r="J51" s="9">
        <v>15000</v>
      </c>
      <c r="K51" s="9"/>
      <c r="L51" s="9"/>
      <c r="M51" s="9"/>
      <c r="N51" s="9"/>
      <c r="O51" s="9">
        <f>SUM([1]BASE!$J51:$N51)</f>
        <v>15000</v>
      </c>
      <c r="P51" s="9"/>
      <c r="Q51" s="9">
        <f>[1]BASE!$O51-[1]BASE!$P51</f>
        <v>15000</v>
      </c>
      <c r="R51" s="9" t="s">
        <v>224</v>
      </c>
      <c r="S51" s="9">
        <v>951334742</v>
      </c>
      <c r="T51" s="11" t="s">
        <v>225</v>
      </c>
      <c r="U51" s="15"/>
      <c r="V51" s="15"/>
      <c r="W51" s="15"/>
    </row>
    <row r="52" spans="3:23" x14ac:dyDescent="0.3">
      <c r="C52" s="9">
        <v>42595810</v>
      </c>
      <c r="D52" s="16" t="s">
        <v>115</v>
      </c>
      <c r="E52" s="14" t="s">
        <v>254</v>
      </c>
      <c r="F52" s="9"/>
      <c r="G52" s="9"/>
      <c r="H52" s="9"/>
      <c r="I52" s="9"/>
      <c r="J52" s="9">
        <v>15000</v>
      </c>
      <c r="K52" s="9"/>
      <c r="L52" s="9"/>
      <c r="M52" s="9"/>
      <c r="N52" s="9"/>
      <c r="O52" s="9">
        <f>SUM([1]BASE!$J52:$N52)</f>
        <v>15000</v>
      </c>
      <c r="P52" s="9"/>
      <c r="Q52" s="9">
        <f>[1]BASE!$O52-[1]BASE!$P52</f>
        <v>15000</v>
      </c>
      <c r="R52" s="9" t="s">
        <v>224</v>
      </c>
      <c r="S52" s="9">
        <v>998713203</v>
      </c>
      <c r="T52" s="11" t="s">
        <v>225</v>
      </c>
      <c r="U52" s="15"/>
      <c r="V52" s="15"/>
      <c r="W52" s="15"/>
    </row>
    <row r="53" spans="3:23" x14ac:dyDescent="0.3">
      <c r="C53" s="9">
        <v>117280802</v>
      </c>
      <c r="D53" s="16" t="s">
        <v>116</v>
      </c>
      <c r="E53" s="14" t="s">
        <v>255</v>
      </c>
      <c r="F53" s="9"/>
      <c r="G53" s="9"/>
      <c r="H53" s="9"/>
      <c r="I53" s="9"/>
      <c r="J53" s="9">
        <v>15000</v>
      </c>
      <c r="K53" s="9"/>
      <c r="L53" s="9"/>
      <c r="M53" s="9"/>
      <c r="N53" s="9"/>
      <c r="O53" s="9">
        <f>SUM([1]BASE!$J53:$N53)</f>
        <v>15000</v>
      </c>
      <c r="P53" s="9"/>
      <c r="Q53" s="9">
        <f>[1]BASE!$O53-[1]BASE!$P53</f>
        <v>15000</v>
      </c>
      <c r="R53" s="9" t="s">
        <v>224</v>
      </c>
      <c r="S53" s="9">
        <v>953830579</v>
      </c>
      <c r="T53" s="11" t="s">
        <v>225</v>
      </c>
      <c r="U53" s="15"/>
      <c r="V53" s="15"/>
      <c r="W53" s="15"/>
    </row>
    <row r="54" spans="3:23" x14ac:dyDescent="0.3">
      <c r="C54" s="9">
        <v>176801492</v>
      </c>
      <c r="D54" s="16" t="s">
        <v>117</v>
      </c>
      <c r="E54" s="14" t="s">
        <v>256</v>
      </c>
      <c r="F54" s="9"/>
      <c r="G54" s="9"/>
      <c r="H54" s="9"/>
      <c r="I54" s="9"/>
      <c r="J54" s="9">
        <v>15000</v>
      </c>
      <c r="K54" s="9"/>
      <c r="L54" s="9"/>
      <c r="M54" s="9"/>
      <c r="N54" s="9"/>
      <c r="O54" s="9">
        <f>SUM([1]BASE!$J54:$N54)</f>
        <v>15000</v>
      </c>
      <c r="P54" s="9"/>
      <c r="Q54" s="9">
        <f>[1]BASE!$O54-[1]BASE!$P54</f>
        <v>15000</v>
      </c>
      <c r="R54" s="9" t="s">
        <v>224</v>
      </c>
      <c r="S54" s="9">
        <v>997972720</v>
      </c>
      <c r="T54" s="11" t="s">
        <v>225</v>
      </c>
      <c r="U54" s="15"/>
      <c r="V54" s="15"/>
      <c r="W54" s="15"/>
    </row>
    <row r="55" spans="3:23" x14ac:dyDescent="0.3">
      <c r="C55" s="12">
        <v>86930242</v>
      </c>
      <c r="D55" s="16" t="s">
        <v>118</v>
      </c>
      <c r="E55" s="17" t="s">
        <v>257</v>
      </c>
      <c r="F55" s="9"/>
      <c r="G55" s="9"/>
      <c r="H55" s="9"/>
      <c r="I55" s="9"/>
      <c r="J55" s="9">
        <v>15000</v>
      </c>
      <c r="K55" s="9"/>
      <c r="L55" s="9"/>
      <c r="M55" s="9"/>
      <c r="N55" s="9"/>
      <c r="O55" s="9">
        <f>SUM([1]BASE!$J55:$N55)</f>
        <v>15000</v>
      </c>
      <c r="P55" s="9"/>
      <c r="Q55" s="9">
        <f>[1]BASE!$O55-[1]BASE!$P55</f>
        <v>15000</v>
      </c>
      <c r="R55" s="9" t="s">
        <v>224</v>
      </c>
      <c r="S55" s="9">
        <v>997069634</v>
      </c>
      <c r="T55" s="11" t="s">
        <v>225</v>
      </c>
      <c r="U55" s="15"/>
      <c r="V55" s="15"/>
      <c r="W55" s="15"/>
    </row>
    <row r="56" spans="3:23" x14ac:dyDescent="0.3">
      <c r="C56" s="12">
        <v>70441950</v>
      </c>
      <c r="D56" s="16" t="s">
        <v>119</v>
      </c>
      <c r="E56" s="17" t="s">
        <v>257</v>
      </c>
      <c r="F56" s="9"/>
      <c r="G56" s="9"/>
      <c r="H56" s="9"/>
      <c r="I56" s="9"/>
      <c r="J56" s="9">
        <v>15000</v>
      </c>
      <c r="K56" s="9"/>
      <c r="L56" s="9"/>
      <c r="M56" s="9"/>
      <c r="N56" s="9"/>
      <c r="O56" s="9">
        <f>SUM([1]BASE!$J56:$N56)</f>
        <v>15000</v>
      </c>
      <c r="P56" s="9"/>
      <c r="Q56" s="9">
        <f>[1]BASE!$O56-[1]BASE!$P56</f>
        <v>15000</v>
      </c>
      <c r="R56" s="9" t="s">
        <v>224</v>
      </c>
      <c r="S56" s="9">
        <v>945058821</v>
      </c>
      <c r="T56" s="11" t="s">
        <v>225</v>
      </c>
      <c r="U56" s="15"/>
      <c r="V56" s="15"/>
      <c r="W56" s="15"/>
    </row>
    <row r="57" spans="3:23" x14ac:dyDescent="0.3">
      <c r="C57" s="12">
        <v>178169688</v>
      </c>
      <c r="D57" s="16" t="s">
        <v>120</v>
      </c>
      <c r="E57" s="17" t="s">
        <v>258</v>
      </c>
      <c r="F57" s="9"/>
      <c r="G57" s="9"/>
      <c r="H57" s="9"/>
      <c r="I57" s="9"/>
      <c r="J57" s="9">
        <v>15000</v>
      </c>
      <c r="K57" s="9"/>
      <c r="L57" s="9"/>
      <c r="M57" s="9"/>
      <c r="N57" s="9"/>
      <c r="O57" s="9">
        <f>SUM([1]BASE!$J57:$N57)</f>
        <v>15000</v>
      </c>
      <c r="P57" s="9"/>
      <c r="Q57" s="9">
        <f>[1]BASE!$O57-[1]BASE!$P57</f>
        <v>15000</v>
      </c>
      <c r="R57" s="9" t="s">
        <v>224</v>
      </c>
      <c r="S57" s="9">
        <v>983682206</v>
      </c>
      <c r="T57" s="11" t="s">
        <v>225</v>
      </c>
      <c r="U57" s="15"/>
      <c r="V57" s="15"/>
      <c r="W57" s="15"/>
    </row>
    <row r="58" spans="3:23" x14ac:dyDescent="0.3">
      <c r="C58" s="12">
        <v>29731241</v>
      </c>
      <c r="D58" s="16" t="s">
        <v>121</v>
      </c>
      <c r="E58" s="17" t="s">
        <v>259</v>
      </c>
      <c r="F58" s="9"/>
      <c r="G58" s="9"/>
      <c r="H58" s="9"/>
      <c r="I58" s="9"/>
      <c r="J58" s="9">
        <v>15000</v>
      </c>
      <c r="K58" s="9"/>
      <c r="L58" s="9"/>
      <c r="M58" s="9"/>
      <c r="N58" s="9"/>
      <c r="O58" s="9">
        <f>SUM([1]BASE!$J58:$N58)</f>
        <v>15000</v>
      </c>
      <c r="P58" s="9"/>
      <c r="Q58" s="9">
        <f>[1]BASE!$O58-[1]BASE!$P58</f>
        <v>15000</v>
      </c>
      <c r="R58" s="9" t="s">
        <v>224</v>
      </c>
      <c r="S58" s="9">
        <v>993079001</v>
      </c>
      <c r="T58" s="11" t="s">
        <v>225</v>
      </c>
      <c r="U58" s="15"/>
      <c r="V58" s="15"/>
      <c r="W58" s="15"/>
    </row>
    <row r="59" spans="3:23" x14ac:dyDescent="0.3">
      <c r="C59" s="12">
        <v>141713248</v>
      </c>
      <c r="D59" s="16" t="s">
        <v>122</v>
      </c>
      <c r="E59" s="17" t="s">
        <v>260</v>
      </c>
      <c r="F59" s="9"/>
      <c r="G59" s="9"/>
      <c r="H59" s="9"/>
      <c r="I59" s="9"/>
      <c r="J59" s="9">
        <v>15000</v>
      </c>
      <c r="K59" s="9"/>
      <c r="L59" s="9"/>
      <c r="M59" s="9"/>
      <c r="N59" s="9"/>
      <c r="O59" s="9">
        <f>SUM([1]BASE!$J59:$N59)</f>
        <v>15000</v>
      </c>
      <c r="P59" s="9"/>
      <c r="Q59" s="9">
        <f>[1]BASE!$O59-[1]BASE!$P59</f>
        <v>15000</v>
      </c>
      <c r="R59" s="9" t="s">
        <v>224</v>
      </c>
      <c r="S59" s="9">
        <v>996206818</v>
      </c>
      <c r="T59" s="11" t="s">
        <v>225</v>
      </c>
      <c r="U59" s="15"/>
      <c r="V59" s="15"/>
      <c r="W59" s="15"/>
    </row>
    <row r="60" spans="3:23" x14ac:dyDescent="0.3">
      <c r="C60" s="12" t="s">
        <v>216</v>
      </c>
      <c r="D60" s="16" t="s">
        <v>124</v>
      </c>
      <c r="E60" s="17" t="s">
        <v>261</v>
      </c>
      <c r="F60" s="9"/>
      <c r="G60" s="9"/>
      <c r="H60" s="9"/>
      <c r="I60" s="9"/>
      <c r="J60" s="9">
        <v>15000</v>
      </c>
      <c r="K60" s="9"/>
      <c r="L60" s="9"/>
      <c r="M60" s="9"/>
      <c r="N60" s="9"/>
      <c r="O60" s="9">
        <f>SUM([1]BASE!$J60:$N60)</f>
        <v>15000</v>
      </c>
      <c r="P60" s="9"/>
      <c r="Q60" s="9">
        <f>[1]BASE!$O60-[1]BASE!$P60</f>
        <v>15000</v>
      </c>
      <c r="R60" s="9" t="s">
        <v>224</v>
      </c>
      <c r="S60" s="9">
        <v>926147959</v>
      </c>
      <c r="T60" s="11" t="s">
        <v>225</v>
      </c>
      <c r="U60" s="15"/>
      <c r="V60" s="15"/>
      <c r="W60" s="15"/>
    </row>
    <row r="61" spans="3:23" x14ac:dyDescent="0.3">
      <c r="C61" s="12" t="s">
        <v>217</v>
      </c>
      <c r="D61" s="16" t="s">
        <v>125</v>
      </c>
      <c r="E61" s="17" t="s">
        <v>262</v>
      </c>
      <c r="F61" s="9"/>
      <c r="G61" s="9"/>
      <c r="H61" s="9"/>
      <c r="I61" s="9"/>
      <c r="J61" s="9">
        <v>15000</v>
      </c>
      <c r="K61" s="9"/>
      <c r="L61" s="9"/>
      <c r="M61" s="9"/>
      <c r="N61" s="9"/>
      <c r="O61" s="9">
        <f>SUM([1]BASE!$J61:$N61)</f>
        <v>15000</v>
      </c>
      <c r="P61" s="9"/>
      <c r="Q61" s="9">
        <f>[1]BASE!$O61-[1]BASE!$P61</f>
        <v>15000</v>
      </c>
      <c r="R61" s="9" t="s">
        <v>224</v>
      </c>
      <c r="S61" s="9">
        <v>982524492</v>
      </c>
      <c r="T61" s="11" t="s">
        <v>225</v>
      </c>
      <c r="U61" s="15"/>
      <c r="V61" s="15"/>
      <c r="W61" s="15"/>
    </row>
    <row r="62" spans="3:23" x14ac:dyDescent="0.3">
      <c r="C62" s="12">
        <v>160995491</v>
      </c>
      <c r="D62" s="16" t="s">
        <v>126</v>
      </c>
      <c r="E62" s="17" t="s">
        <v>262</v>
      </c>
      <c r="F62" s="9">
        <v>9042026</v>
      </c>
      <c r="G62" s="9"/>
      <c r="H62" s="9"/>
      <c r="I62" s="9"/>
      <c r="J62" s="9">
        <v>15000</v>
      </c>
      <c r="K62" s="9">
        <v>15000</v>
      </c>
      <c r="L62" s="9"/>
      <c r="M62" s="9"/>
      <c r="N62" s="9"/>
      <c r="O62" s="9">
        <f>SUM([1]BASE!$J62:$N62)</f>
        <v>30000</v>
      </c>
      <c r="P62" s="9"/>
      <c r="Q62" s="9">
        <f>[1]BASE!$O62-[1]BASE!$P62</f>
        <v>30000</v>
      </c>
      <c r="R62" s="9" t="s">
        <v>224</v>
      </c>
      <c r="S62" s="9">
        <v>932490720</v>
      </c>
      <c r="T62" s="11" t="s">
        <v>225</v>
      </c>
      <c r="U62" s="15"/>
      <c r="V62" s="15"/>
      <c r="W62" s="15"/>
    </row>
    <row r="63" spans="3:23" x14ac:dyDescent="0.3">
      <c r="C63" s="12">
        <v>107678182</v>
      </c>
      <c r="D63" s="16" t="s">
        <v>127</v>
      </c>
      <c r="E63" s="17" t="s">
        <v>263</v>
      </c>
      <c r="F63" s="9"/>
      <c r="G63" s="9"/>
      <c r="H63" s="9"/>
      <c r="I63" s="9"/>
      <c r="J63" s="9">
        <v>15000</v>
      </c>
      <c r="K63" s="9"/>
      <c r="L63" s="9"/>
      <c r="M63" s="9"/>
      <c r="N63" s="9"/>
      <c r="O63" s="9">
        <f>SUM([1]BASE!$J63:$N63)</f>
        <v>15000</v>
      </c>
      <c r="P63" s="9">
        <v>15000</v>
      </c>
      <c r="Q63" s="9">
        <f>[1]BASE!$O63-[1]BASE!$P63</f>
        <v>0</v>
      </c>
      <c r="R63" s="9" t="s">
        <v>224</v>
      </c>
      <c r="S63" s="9">
        <v>953653036</v>
      </c>
      <c r="T63" s="11" t="s">
        <v>225</v>
      </c>
      <c r="U63" s="15"/>
      <c r="V63" s="15"/>
      <c r="W63" s="15"/>
    </row>
    <row r="64" spans="3:23" x14ac:dyDescent="0.3">
      <c r="C64" s="12">
        <v>761193295</v>
      </c>
      <c r="D64" s="16" t="s">
        <v>128</v>
      </c>
      <c r="E64" s="17" t="s">
        <v>263</v>
      </c>
      <c r="F64" s="9"/>
      <c r="G64" s="9"/>
      <c r="H64" s="9"/>
      <c r="I64" s="9"/>
      <c r="J64" s="9">
        <v>15000</v>
      </c>
      <c r="K64" s="9"/>
      <c r="L64" s="9"/>
      <c r="M64" s="9"/>
      <c r="N64" s="9"/>
      <c r="O64" s="9">
        <f>SUM([1]BASE!$J64:$N64)</f>
        <v>15000</v>
      </c>
      <c r="P64" s="9"/>
      <c r="Q64" s="9">
        <f>[1]BASE!$O64-[1]BASE!$P64</f>
        <v>15000</v>
      </c>
      <c r="R64" s="9" t="s">
        <v>224</v>
      </c>
      <c r="S64" s="9">
        <v>984641477</v>
      </c>
      <c r="T64" s="11" t="s">
        <v>225</v>
      </c>
      <c r="U64" s="15"/>
      <c r="V64" s="15"/>
      <c r="W64" s="15"/>
    </row>
    <row r="65" spans="3:23" x14ac:dyDescent="0.3">
      <c r="C65" s="12">
        <v>76236879</v>
      </c>
      <c r="D65" s="16" t="s">
        <v>129</v>
      </c>
      <c r="E65" s="17" t="s">
        <v>264</v>
      </c>
      <c r="F65" s="9"/>
      <c r="G65" s="9"/>
      <c r="H65" s="9"/>
      <c r="I65" s="9"/>
      <c r="J65" s="9">
        <v>15000</v>
      </c>
      <c r="K65" s="9"/>
      <c r="L65" s="9"/>
      <c r="M65" s="9"/>
      <c r="N65" s="9"/>
      <c r="O65" s="9">
        <f>SUM([1]BASE!$J65:$N65)</f>
        <v>15000</v>
      </c>
      <c r="P65" s="9"/>
      <c r="Q65" s="9">
        <f>[1]BASE!$O65-[1]BASE!$P65</f>
        <v>15000</v>
      </c>
      <c r="R65" s="9" t="s">
        <v>224</v>
      </c>
      <c r="S65" s="9">
        <v>988176912</v>
      </c>
      <c r="T65" s="11" t="s">
        <v>225</v>
      </c>
      <c r="U65" s="15"/>
      <c r="V65" s="15"/>
      <c r="W65" s="15"/>
    </row>
    <row r="66" spans="3:23" x14ac:dyDescent="0.3">
      <c r="C66" s="12">
        <v>141929348</v>
      </c>
      <c r="D66" s="16" t="s">
        <v>130</v>
      </c>
      <c r="E66" s="17" t="s">
        <v>265</v>
      </c>
      <c r="F66" s="9"/>
      <c r="G66" s="9"/>
      <c r="H66" s="9"/>
      <c r="I66" s="9"/>
      <c r="J66" s="9">
        <v>15000</v>
      </c>
      <c r="K66" s="9"/>
      <c r="L66" s="9"/>
      <c r="M66" s="9"/>
      <c r="N66" s="9"/>
      <c r="O66" s="9">
        <f>SUM([1]BASE!$J66:$N66)</f>
        <v>15000</v>
      </c>
      <c r="P66" s="9"/>
      <c r="Q66" s="9">
        <f>[1]BASE!$O66-[1]BASE!$P66</f>
        <v>15000</v>
      </c>
      <c r="R66" s="9" t="s">
        <v>224</v>
      </c>
      <c r="S66" s="9">
        <v>976952722</v>
      </c>
      <c r="T66" s="11" t="s">
        <v>225</v>
      </c>
      <c r="U66" s="15"/>
      <c r="V66" s="15"/>
      <c r="W66" s="15"/>
    </row>
    <row r="67" spans="3:23" x14ac:dyDescent="0.3">
      <c r="C67" s="12">
        <v>130268285</v>
      </c>
      <c r="D67" s="16" t="s">
        <v>131</v>
      </c>
      <c r="E67" s="17" t="s">
        <v>266</v>
      </c>
      <c r="F67" s="9"/>
      <c r="G67" s="9"/>
      <c r="H67" s="9"/>
      <c r="I67" s="9"/>
      <c r="J67" s="9">
        <v>15000</v>
      </c>
      <c r="K67" s="9"/>
      <c r="L67" s="9"/>
      <c r="M67" s="9"/>
      <c r="N67" s="9"/>
      <c r="O67" s="9">
        <f>SUM([1]BASE!$J67:$N67)</f>
        <v>15000</v>
      </c>
      <c r="P67" s="9"/>
      <c r="Q67" s="9">
        <f>[1]BASE!$O67-[1]BASE!$P67</f>
        <v>15000</v>
      </c>
      <c r="R67" s="9" t="s">
        <v>224</v>
      </c>
      <c r="S67" s="9">
        <v>995456156</v>
      </c>
      <c r="T67" s="11" t="s">
        <v>225</v>
      </c>
      <c r="U67" s="15"/>
      <c r="V67" s="15"/>
      <c r="W67" s="15"/>
    </row>
    <row r="68" spans="3:23" x14ac:dyDescent="0.3">
      <c r="C68" s="12">
        <v>161445673</v>
      </c>
      <c r="D68" s="16" t="s">
        <v>132</v>
      </c>
      <c r="E68" s="17" t="s">
        <v>258</v>
      </c>
      <c r="F68" s="9"/>
      <c r="G68" s="9"/>
      <c r="H68" s="9"/>
      <c r="I68" s="9"/>
      <c r="J68" s="9">
        <v>15000</v>
      </c>
      <c r="K68" s="9"/>
      <c r="L68" s="9"/>
      <c r="M68" s="9"/>
      <c r="N68" s="9"/>
      <c r="O68" s="9">
        <f>SUM([1]BASE!$J68:$N68)</f>
        <v>15000</v>
      </c>
      <c r="P68" s="9"/>
      <c r="Q68" s="9">
        <f>[1]BASE!$O68-[1]BASE!$P68</f>
        <v>15000</v>
      </c>
      <c r="R68" s="9" t="s">
        <v>224</v>
      </c>
      <c r="S68" s="9">
        <v>932528228</v>
      </c>
      <c r="T68" s="11" t="s">
        <v>225</v>
      </c>
      <c r="U68" s="15"/>
      <c r="V68" s="15"/>
      <c r="W68" s="15"/>
    </row>
    <row r="69" spans="3:23" x14ac:dyDescent="0.3">
      <c r="C69" s="12">
        <v>130644112</v>
      </c>
      <c r="D69" s="16" t="s">
        <v>133</v>
      </c>
      <c r="E69" s="17" t="s">
        <v>258</v>
      </c>
      <c r="F69" s="9"/>
      <c r="G69" s="9"/>
      <c r="H69" s="9"/>
      <c r="I69" s="9"/>
      <c r="J69" s="9">
        <v>15000</v>
      </c>
      <c r="K69" s="9"/>
      <c r="L69" s="9"/>
      <c r="M69" s="9"/>
      <c r="N69" s="9"/>
      <c r="O69" s="9">
        <f>SUM([1]BASE!$J69:$N69)</f>
        <v>15000</v>
      </c>
      <c r="P69" s="9"/>
      <c r="Q69" s="9">
        <f>[1]BASE!$O69-[1]BASE!$P69</f>
        <v>15000</v>
      </c>
      <c r="R69" s="9" t="s">
        <v>224</v>
      </c>
      <c r="S69" s="9">
        <v>988276756</v>
      </c>
      <c r="T69" s="11" t="s">
        <v>225</v>
      </c>
      <c r="U69" s="15"/>
      <c r="V69" s="15"/>
      <c r="W69" s="15"/>
    </row>
    <row r="70" spans="3:23" x14ac:dyDescent="0.3">
      <c r="C70" s="12">
        <v>85749218</v>
      </c>
      <c r="D70" s="16" t="s">
        <v>134</v>
      </c>
      <c r="E70" s="17" t="s">
        <v>267</v>
      </c>
      <c r="F70" s="9"/>
      <c r="G70" s="9"/>
      <c r="H70" s="9"/>
      <c r="I70" s="9"/>
      <c r="J70" s="9">
        <v>15000</v>
      </c>
      <c r="K70" s="9"/>
      <c r="L70" s="9"/>
      <c r="M70" s="9"/>
      <c r="N70" s="9"/>
      <c r="O70" s="9">
        <f>SUM([1]BASE!$J70:$N70)</f>
        <v>15000</v>
      </c>
      <c r="P70" s="9"/>
      <c r="Q70" s="9">
        <f>[1]BASE!$O70-[1]BASE!$P70</f>
        <v>15000</v>
      </c>
      <c r="R70" s="9" t="s">
        <v>224</v>
      </c>
      <c r="S70" s="9">
        <v>995791941</v>
      </c>
      <c r="T70" s="11" t="s">
        <v>225</v>
      </c>
      <c r="U70" s="15"/>
      <c r="V70" s="15"/>
      <c r="W70" s="15"/>
    </row>
    <row r="71" spans="3:23" x14ac:dyDescent="0.3">
      <c r="C71" s="12">
        <v>91287633</v>
      </c>
      <c r="D71" s="16" t="s">
        <v>135</v>
      </c>
      <c r="E71" s="17" t="s">
        <v>267</v>
      </c>
      <c r="F71" s="9"/>
      <c r="G71" s="9"/>
      <c r="H71" s="9"/>
      <c r="I71" s="9"/>
      <c r="J71" s="9">
        <v>15000</v>
      </c>
      <c r="K71" s="9"/>
      <c r="L71" s="9"/>
      <c r="M71" s="9"/>
      <c r="N71" s="9"/>
      <c r="O71" s="9">
        <f>SUM([1]BASE!$J71:$N71)</f>
        <v>15000</v>
      </c>
      <c r="P71" s="9"/>
      <c r="Q71" s="9">
        <f>[1]BASE!$O71-[1]BASE!$P71</f>
        <v>15000</v>
      </c>
      <c r="R71" s="9" t="s">
        <v>224</v>
      </c>
      <c r="S71" s="9">
        <v>994197087</v>
      </c>
      <c r="T71" s="11" t="s">
        <v>225</v>
      </c>
      <c r="U71" s="15"/>
      <c r="V71" s="15"/>
      <c r="W71" s="15"/>
    </row>
    <row r="72" spans="3:23" x14ac:dyDescent="0.3">
      <c r="C72" s="12">
        <v>107151826</v>
      </c>
      <c r="D72" s="16" t="s">
        <v>136</v>
      </c>
      <c r="E72" s="17" t="s">
        <v>268</v>
      </c>
      <c r="F72" s="9"/>
      <c r="G72" s="9"/>
      <c r="H72" s="9"/>
      <c r="I72" s="9"/>
      <c r="J72" s="9">
        <v>15000</v>
      </c>
      <c r="K72" s="9"/>
      <c r="L72" s="9"/>
      <c r="M72" s="9"/>
      <c r="N72" s="9"/>
      <c r="O72" s="9">
        <f>SUM([1]BASE!$J72:$N72)</f>
        <v>15000</v>
      </c>
      <c r="P72" s="9"/>
      <c r="Q72" s="9">
        <f>[1]BASE!$O72-[1]BASE!$P72</f>
        <v>15000</v>
      </c>
      <c r="R72" s="9" t="s">
        <v>224</v>
      </c>
      <c r="S72" s="9">
        <v>964684420</v>
      </c>
      <c r="T72" s="11" t="s">
        <v>225</v>
      </c>
      <c r="U72" s="15"/>
      <c r="V72" s="15"/>
      <c r="W72" s="15"/>
    </row>
    <row r="73" spans="3:23" x14ac:dyDescent="0.3">
      <c r="C73" s="12">
        <v>122440303</v>
      </c>
      <c r="D73" s="16" t="s">
        <v>137</v>
      </c>
      <c r="E73" s="17" t="s">
        <v>268</v>
      </c>
      <c r="F73" s="9"/>
      <c r="G73" s="9"/>
      <c r="H73" s="9"/>
      <c r="I73" s="9"/>
      <c r="J73" s="9">
        <v>15000</v>
      </c>
      <c r="K73" s="9"/>
      <c r="L73" s="9"/>
      <c r="M73" s="9"/>
      <c r="N73" s="9"/>
      <c r="O73" s="9">
        <f>SUM([1]BASE!$J73:$N73)</f>
        <v>15000</v>
      </c>
      <c r="P73" s="9"/>
      <c r="Q73" s="9">
        <f>[1]BASE!$O73-[1]BASE!$P73</f>
        <v>15000</v>
      </c>
      <c r="R73" s="9" t="s">
        <v>224</v>
      </c>
      <c r="S73" s="9">
        <v>990347377</v>
      </c>
      <c r="T73" s="11" t="s">
        <v>225</v>
      </c>
      <c r="U73" s="15"/>
      <c r="V73" s="15"/>
      <c r="W73" s="15"/>
    </row>
    <row r="74" spans="3:23" x14ac:dyDescent="0.3">
      <c r="C74" s="12" t="s">
        <v>218</v>
      </c>
      <c r="D74" s="16" t="s">
        <v>138</v>
      </c>
      <c r="E74" s="17" t="s">
        <v>268</v>
      </c>
      <c r="F74" s="9"/>
      <c r="G74" s="9"/>
      <c r="H74" s="9"/>
      <c r="I74" s="9"/>
      <c r="J74" s="9">
        <v>15000</v>
      </c>
      <c r="K74" s="9"/>
      <c r="L74" s="9"/>
      <c r="M74" s="9"/>
      <c r="N74" s="9"/>
      <c r="O74" s="9">
        <f>SUM([1]BASE!$J74:$N74)</f>
        <v>15000</v>
      </c>
      <c r="P74" s="9"/>
      <c r="Q74" s="9">
        <f>[1]BASE!$O74-[1]BASE!$P74</f>
        <v>15000</v>
      </c>
      <c r="R74" s="9" t="s">
        <v>224</v>
      </c>
      <c r="S74" s="9">
        <v>975308446</v>
      </c>
      <c r="T74" s="11" t="s">
        <v>225</v>
      </c>
      <c r="U74" s="15"/>
      <c r="V74" s="15"/>
      <c r="W74" s="15"/>
    </row>
    <row r="75" spans="3:23" x14ac:dyDescent="0.3">
      <c r="C75" s="12" t="s">
        <v>219</v>
      </c>
      <c r="D75" s="16" t="s">
        <v>139</v>
      </c>
      <c r="E75" s="17" t="s">
        <v>260</v>
      </c>
      <c r="F75" s="9"/>
      <c r="G75" s="9"/>
      <c r="H75" s="9"/>
      <c r="I75" s="9"/>
      <c r="J75" s="9">
        <v>15000</v>
      </c>
      <c r="K75" s="9"/>
      <c r="L75" s="9"/>
      <c r="M75" s="9"/>
      <c r="N75" s="9"/>
      <c r="O75" s="9">
        <f>SUM([1]BASE!$J75:$N75)</f>
        <v>15000</v>
      </c>
      <c r="P75" s="9"/>
      <c r="Q75" s="9">
        <f>[1]BASE!$O75-[1]BASE!$P75</f>
        <v>15000</v>
      </c>
      <c r="R75" s="9" t="s">
        <v>224</v>
      </c>
      <c r="S75" s="9">
        <v>977069602</v>
      </c>
      <c r="T75" s="11" t="s">
        <v>225</v>
      </c>
      <c r="U75" s="15"/>
      <c r="V75" s="15"/>
      <c r="W75" s="15"/>
    </row>
    <row r="76" spans="3:23" x14ac:dyDescent="0.3">
      <c r="C76" s="12">
        <v>152177828</v>
      </c>
      <c r="D76" s="16" t="s">
        <v>140</v>
      </c>
      <c r="E76" s="17" t="s">
        <v>269</v>
      </c>
      <c r="F76" s="9"/>
      <c r="G76" s="9"/>
      <c r="H76" s="9"/>
      <c r="I76" s="9"/>
      <c r="J76" s="9">
        <v>15000</v>
      </c>
      <c r="K76" s="9"/>
      <c r="L76" s="9"/>
      <c r="M76" s="9"/>
      <c r="N76" s="9"/>
      <c r="O76" s="9">
        <f>SUM([1]BASE!$J76:$N76)</f>
        <v>15000</v>
      </c>
      <c r="P76" s="9"/>
      <c r="Q76" s="9">
        <f>[1]BASE!$O76-[1]BASE!$P76</f>
        <v>15000</v>
      </c>
      <c r="R76" s="9" t="s">
        <v>224</v>
      </c>
      <c r="S76" s="9">
        <v>997011008</v>
      </c>
      <c r="T76" s="11" t="s">
        <v>225</v>
      </c>
      <c r="U76" s="15"/>
      <c r="V76" s="15"/>
      <c r="W76" s="15"/>
    </row>
    <row r="77" spans="3:23" x14ac:dyDescent="0.3">
      <c r="C77" s="12">
        <v>257402061</v>
      </c>
      <c r="D77" s="16" t="s">
        <v>141</v>
      </c>
      <c r="E77" s="17" t="s">
        <v>269</v>
      </c>
      <c r="F77" s="9"/>
      <c r="G77" s="9"/>
      <c r="H77" s="9"/>
      <c r="I77" s="9"/>
      <c r="J77" s="9">
        <v>15000</v>
      </c>
      <c r="K77" s="9"/>
      <c r="L77" s="9"/>
      <c r="M77" s="9"/>
      <c r="N77" s="9"/>
      <c r="O77" s="9">
        <f>SUM([1]BASE!$J77:$N77)</f>
        <v>15000</v>
      </c>
      <c r="P77" s="9"/>
      <c r="Q77" s="9">
        <f>[1]BASE!$O77-[1]BASE!$P77</f>
        <v>15000</v>
      </c>
      <c r="R77" s="9" t="s">
        <v>224</v>
      </c>
      <c r="S77" s="9">
        <v>952332242</v>
      </c>
      <c r="T77" s="11" t="s">
        <v>225</v>
      </c>
      <c r="U77" s="15"/>
      <c r="V77" s="15"/>
      <c r="W77" s="15"/>
    </row>
    <row r="78" spans="3:23" x14ac:dyDescent="0.3">
      <c r="C78" s="12">
        <v>68099706</v>
      </c>
      <c r="D78" s="16" t="s">
        <v>142</v>
      </c>
      <c r="E78" s="17" t="s">
        <v>270</v>
      </c>
      <c r="F78" s="9"/>
      <c r="G78" s="9"/>
      <c r="H78" s="9"/>
      <c r="I78" s="9"/>
      <c r="J78" s="9">
        <v>15000</v>
      </c>
      <c r="K78" s="9"/>
      <c r="L78" s="9"/>
      <c r="M78" s="9"/>
      <c r="N78" s="9"/>
      <c r="O78" s="9">
        <f>SUM([1]BASE!$J78:$N78)</f>
        <v>15000</v>
      </c>
      <c r="P78" s="9"/>
      <c r="Q78" s="9">
        <f>[1]BASE!$O78-[1]BASE!$P78</f>
        <v>15000</v>
      </c>
      <c r="R78" s="9" t="s">
        <v>224</v>
      </c>
      <c r="S78" s="9">
        <v>997166860</v>
      </c>
      <c r="T78" s="11" t="s">
        <v>225</v>
      </c>
      <c r="U78" s="15"/>
      <c r="V78" s="15"/>
      <c r="W78" s="15"/>
    </row>
    <row r="79" spans="3:23" x14ac:dyDescent="0.3">
      <c r="C79" s="12">
        <v>86783703</v>
      </c>
      <c r="D79" s="16" t="s">
        <v>143</v>
      </c>
      <c r="E79" s="17" t="s">
        <v>270</v>
      </c>
      <c r="F79" s="9"/>
      <c r="G79" s="9"/>
      <c r="H79" s="9"/>
      <c r="I79" s="9"/>
      <c r="J79" s="9">
        <v>15000</v>
      </c>
      <c r="K79" s="9"/>
      <c r="L79" s="9"/>
      <c r="M79" s="9"/>
      <c r="N79" s="9"/>
      <c r="O79" s="9">
        <f>SUM([1]BASE!$J79:$N79)</f>
        <v>15000</v>
      </c>
      <c r="P79" s="9"/>
      <c r="Q79" s="9">
        <f>[1]BASE!$O79-[1]BASE!$P79</f>
        <v>15000</v>
      </c>
      <c r="R79" s="9" t="s">
        <v>224</v>
      </c>
      <c r="S79" s="9">
        <v>984498374</v>
      </c>
      <c r="T79" s="11" t="s">
        <v>225</v>
      </c>
      <c r="U79" s="15"/>
      <c r="V79" s="15"/>
      <c r="W79" s="15"/>
    </row>
    <row r="80" spans="3:23" x14ac:dyDescent="0.3">
      <c r="C80" s="12">
        <v>58485020</v>
      </c>
      <c r="D80" s="16" t="s">
        <v>144</v>
      </c>
      <c r="E80" s="17" t="s">
        <v>270</v>
      </c>
      <c r="F80" s="9"/>
      <c r="G80" s="9"/>
      <c r="H80" s="9"/>
      <c r="I80" s="9"/>
      <c r="J80" s="9">
        <v>15000</v>
      </c>
      <c r="K80" s="9"/>
      <c r="L80" s="9"/>
      <c r="M80" s="9"/>
      <c r="N80" s="9"/>
      <c r="O80" s="9">
        <f>SUM([1]BASE!$J80:$N80)</f>
        <v>15000</v>
      </c>
      <c r="P80" s="9"/>
      <c r="Q80" s="9">
        <f>[1]BASE!$O80-[1]BASE!$P80</f>
        <v>15000</v>
      </c>
      <c r="R80" s="9" t="s">
        <v>224</v>
      </c>
      <c r="S80" s="9">
        <v>998631441</v>
      </c>
      <c r="T80" s="11" t="s">
        <v>225</v>
      </c>
      <c r="U80" s="15"/>
      <c r="V80" s="15"/>
      <c r="W80" s="15"/>
    </row>
    <row r="81" spans="3:23" x14ac:dyDescent="0.3">
      <c r="C81" s="12">
        <v>114313044</v>
      </c>
      <c r="D81" s="16" t="s">
        <v>145</v>
      </c>
      <c r="E81" s="17" t="s">
        <v>271</v>
      </c>
      <c r="F81" s="9"/>
      <c r="G81" s="9"/>
      <c r="H81" s="9"/>
      <c r="I81" s="9"/>
      <c r="J81" s="9">
        <v>15000</v>
      </c>
      <c r="K81" s="9"/>
      <c r="L81" s="9"/>
      <c r="M81" s="9"/>
      <c r="N81" s="9"/>
      <c r="O81" s="9">
        <f>SUM([1]BASE!$J81:$N81)</f>
        <v>15000</v>
      </c>
      <c r="P81" s="9"/>
      <c r="Q81" s="9">
        <f>[1]BASE!$O81-[1]BASE!$P81</f>
        <v>15000</v>
      </c>
      <c r="R81" s="9" t="s">
        <v>224</v>
      </c>
      <c r="S81" s="9">
        <v>922085800</v>
      </c>
      <c r="T81" s="11" t="s">
        <v>225</v>
      </c>
      <c r="U81" s="15"/>
      <c r="V81" s="15"/>
      <c r="W81" s="15"/>
    </row>
    <row r="82" spans="3:23" x14ac:dyDescent="0.3">
      <c r="C82" s="12">
        <v>164237869</v>
      </c>
      <c r="D82" s="16" t="s">
        <v>146</v>
      </c>
      <c r="E82" s="17" t="s">
        <v>271</v>
      </c>
      <c r="F82" s="9"/>
      <c r="G82" s="9"/>
      <c r="H82" s="9"/>
      <c r="I82" s="9"/>
      <c r="J82" s="9">
        <v>15000</v>
      </c>
      <c r="K82" s="9"/>
      <c r="L82" s="9"/>
      <c r="M82" s="9"/>
      <c r="N82" s="9"/>
      <c r="O82" s="9">
        <f>SUM([1]BASE!$J82:$N82)</f>
        <v>15000</v>
      </c>
      <c r="P82" s="9"/>
      <c r="Q82" s="9">
        <f>[1]BASE!$O82-[1]BASE!$P82</f>
        <v>15000</v>
      </c>
      <c r="R82" s="9" t="s">
        <v>224</v>
      </c>
      <c r="S82" s="9">
        <v>964951043</v>
      </c>
      <c r="T82" s="11" t="s">
        <v>225</v>
      </c>
      <c r="U82" s="15"/>
      <c r="V82" s="15"/>
      <c r="W82" s="15"/>
    </row>
    <row r="83" spans="3:23" x14ac:dyDescent="0.3">
      <c r="C83" s="12">
        <v>120097873</v>
      </c>
      <c r="D83" s="16" t="s">
        <v>147</v>
      </c>
      <c r="E83" s="17" t="s">
        <v>271</v>
      </c>
      <c r="F83" s="9"/>
      <c r="G83" s="9"/>
      <c r="H83" s="9"/>
      <c r="I83" s="9"/>
      <c r="J83" s="9">
        <v>15000</v>
      </c>
      <c r="K83" s="9"/>
      <c r="L83" s="9"/>
      <c r="M83" s="9"/>
      <c r="N83" s="9"/>
      <c r="O83" s="9">
        <f>SUM([1]BASE!$J83:$N83)</f>
        <v>15000</v>
      </c>
      <c r="P83" s="9"/>
      <c r="Q83" s="9">
        <f>[1]BASE!$O83-[1]BASE!$P83</f>
        <v>15000</v>
      </c>
      <c r="R83" s="9" t="s">
        <v>224</v>
      </c>
      <c r="S83" s="9">
        <v>962068712</v>
      </c>
      <c r="T83" s="11" t="s">
        <v>225</v>
      </c>
      <c r="U83" s="15"/>
      <c r="V83" s="15"/>
      <c r="W83" s="15"/>
    </row>
    <row r="84" spans="3:23" x14ac:dyDescent="0.3">
      <c r="C84" s="12">
        <v>70473747</v>
      </c>
      <c r="D84" s="16" t="s">
        <v>148</v>
      </c>
      <c r="E84" s="17" t="s">
        <v>271</v>
      </c>
      <c r="F84" s="9"/>
      <c r="G84" s="9"/>
      <c r="H84" s="9"/>
      <c r="I84" s="9"/>
      <c r="J84" s="9">
        <v>15000</v>
      </c>
      <c r="K84" s="9"/>
      <c r="L84" s="9"/>
      <c r="M84" s="9"/>
      <c r="N84" s="9"/>
      <c r="O84" s="9">
        <f>SUM([1]BASE!$J84:$N84)</f>
        <v>15000</v>
      </c>
      <c r="P84" s="9"/>
      <c r="Q84" s="9">
        <f>[1]BASE!$O84-[1]BASE!$P84</f>
        <v>15000</v>
      </c>
      <c r="R84" s="9" t="s">
        <v>224</v>
      </c>
      <c r="S84" s="9">
        <v>987693831</v>
      </c>
      <c r="T84" s="11" t="s">
        <v>225</v>
      </c>
      <c r="U84" s="15"/>
      <c r="V84" s="15"/>
      <c r="W84" s="15"/>
    </row>
    <row r="85" spans="3:23" x14ac:dyDescent="0.3">
      <c r="C85" s="12">
        <v>76793522</v>
      </c>
      <c r="D85" s="16" t="s">
        <v>149</v>
      </c>
      <c r="E85" s="17" t="s">
        <v>272</v>
      </c>
      <c r="F85" s="9"/>
      <c r="G85" s="9"/>
      <c r="H85" s="9"/>
      <c r="I85" s="9"/>
      <c r="J85" s="9">
        <v>15000</v>
      </c>
      <c r="K85" s="9"/>
      <c r="L85" s="9"/>
      <c r="M85" s="9"/>
      <c r="N85" s="9"/>
      <c r="O85" s="9">
        <f>SUM([1]BASE!$J85:$N85)</f>
        <v>15000</v>
      </c>
      <c r="P85" s="9"/>
      <c r="Q85" s="9">
        <f>[1]BASE!$O85-[1]BASE!$P85</f>
        <v>15000</v>
      </c>
      <c r="R85" s="9" t="s">
        <v>224</v>
      </c>
      <c r="S85" s="9">
        <v>998859654</v>
      </c>
      <c r="T85" s="11" t="s">
        <v>225</v>
      </c>
      <c r="U85" s="15"/>
      <c r="V85" s="15"/>
      <c r="W85" s="15"/>
    </row>
    <row r="86" spans="3:23" x14ac:dyDescent="0.3">
      <c r="C86" s="12">
        <v>134543167</v>
      </c>
      <c r="D86" s="16" t="s">
        <v>150</v>
      </c>
      <c r="E86" s="17" t="s">
        <v>272</v>
      </c>
      <c r="F86" s="9"/>
      <c r="G86" s="9"/>
      <c r="H86" s="9"/>
      <c r="I86" s="9"/>
      <c r="J86" s="9">
        <v>15000</v>
      </c>
      <c r="K86" s="9"/>
      <c r="L86" s="9"/>
      <c r="M86" s="9"/>
      <c r="N86" s="9"/>
      <c r="O86" s="9">
        <f>SUM([1]BASE!$J86:$N86)</f>
        <v>15000</v>
      </c>
      <c r="P86" s="9"/>
      <c r="Q86" s="9">
        <f>[1]BASE!$O86-[1]BASE!$P86</f>
        <v>15000</v>
      </c>
      <c r="R86" s="9" t="s">
        <v>224</v>
      </c>
      <c r="S86" s="9">
        <v>956588443</v>
      </c>
      <c r="T86" s="11" t="s">
        <v>225</v>
      </c>
      <c r="U86" s="15"/>
      <c r="V86" s="15"/>
      <c r="W86" s="15"/>
    </row>
    <row r="87" spans="3:23" x14ac:dyDescent="0.3">
      <c r="C87" s="12">
        <v>103358213</v>
      </c>
      <c r="D87" s="16" t="s">
        <v>151</v>
      </c>
      <c r="E87" s="17" t="s">
        <v>272</v>
      </c>
      <c r="F87" s="9"/>
      <c r="G87" s="9"/>
      <c r="H87" s="9"/>
      <c r="I87" s="9"/>
      <c r="J87" s="9">
        <v>15000</v>
      </c>
      <c r="K87" s="9"/>
      <c r="L87" s="9"/>
      <c r="M87" s="9"/>
      <c r="N87" s="9"/>
      <c r="O87" s="9">
        <f>SUM([1]BASE!$J87:$N87)</f>
        <v>15000</v>
      </c>
      <c r="P87" s="9"/>
      <c r="Q87" s="9">
        <f>[1]BASE!$O87-[1]BASE!$P87</f>
        <v>15000</v>
      </c>
      <c r="R87" s="9" t="s">
        <v>224</v>
      </c>
      <c r="S87" s="9">
        <v>998838846</v>
      </c>
      <c r="T87" s="11" t="s">
        <v>225</v>
      </c>
      <c r="U87" s="15"/>
      <c r="V87" s="15"/>
      <c r="W87" s="15"/>
    </row>
    <row r="88" spans="3:23" x14ac:dyDescent="0.3">
      <c r="C88" s="12">
        <v>51782399</v>
      </c>
      <c r="D88" s="16" t="s">
        <v>152</v>
      </c>
      <c r="E88" s="17" t="s">
        <v>272</v>
      </c>
      <c r="F88" s="9"/>
      <c r="G88" s="9"/>
      <c r="H88" s="9"/>
      <c r="I88" s="9"/>
      <c r="J88" s="9">
        <v>15000</v>
      </c>
      <c r="K88" s="9"/>
      <c r="L88" s="9"/>
      <c r="M88" s="9"/>
      <c r="N88" s="9"/>
      <c r="O88" s="9">
        <f>SUM([1]BASE!$J88:$N88)</f>
        <v>15000</v>
      </c>
      <c r="P88" s="9"/>
      <c r="Q88" s="9">
        <f>[1]BASE!$O88-[1]BASE!$P88</f>
        <v>15000</v>
      </c>
      <c r="R88" s="9" t="s">
        <v>224</v>
      </c>
      <c r="S88" s="9">
        <v>998640305</v>
      </c>
      <c r="T88" s="11" t="s">
        <v>225</v>
      </c>
      <c r="U88" s="15"/>
      <c r="V88" s="15"/>
      <c r="W88" s="15"/>
    </row>
    <row r="89" spans="3:23" x14ac:dyDescent="0.3">
      <c r="C89" s="12">
        <v>80120044</v>
      </c>
      <c r="D89" s="16" t="s">
        <v>153</v>
      </c>
      <c r="E89" s="17" t="s">
        <v>272</v>
      </c>
      <c r="F89" s="9"/>
      <c r="G89" s="9"/>
      <c r="H89" s="9"/>
      <c r="I89" s="9"/>
      <c r="J89" s="9">
        <v>15000</v>
      </c>
      <c r="K89" s="9"/>
      <c r="L89" s="9"/>
      <c r="M89" s="9"/>
      <c r="N89" s="9"/>
      <c r="O89" s="9">
        <f>SUM([1]BASE!$J89:$N89)</f>
        <v>15000</v>
      </c>
      <c r="P89" s="9"/>
      <c r="Q89" s="9">
        <f>[1]BASE!$O89-[1]BASE!$P89</f>
        <v>15000</v>
      </c>
      <c r="R89" s="9" t="s">
        <v>224</v>
      </c>
      <c r="S89" s="9">
        <v>994040579</v>
      </c>
      <c r="T89" s="11" t="s">
        <v>225</v>
      </c>
      <c r="U89" s="15"/>
      <c r="V89" s="15"/>
      <c r="W89" s="15"/>
    </row>
    <row r="90" spans="3:23" x14ac:dyDescent="0.3">
      <c r="C90" s="12">
        <v>167910386</v>
      </c>
      <c r="D90" s="16" t="s">
        <v>154</v>
      </c>
      <c r="E90" s="17" t="s">
        <v>269</v>
      </c>
      <c r="F90" s="9">
        <v>24032026</v>
      </c>
      <c r="G90" s="9"/>
      <c r="H90" s="9"/>
      <c r="I90" s="9"/>
      <c r="J90" s="9">
        <v>15000</v>
      </c>
      <c r="K90" s="9">
        <v>15000</v>
      </c>
      <c r="L90" s="9"/>
      <c r="M90" s="9"/>
      <c r="N90" s="9"/>
      <c r="O90" s="9">
        <f>SUM([1]BASE!$J90:$N90)</f>
        <v>30000</v>
      </c>
      <c r="P90" s="9"/>
      <c r="Q90" s="9">
        <f>[1]BASE!$O90-[1]BASE!$P90</f>
        <v>30000</v>
      </c>
      <c r="R90" s="9" t="s">
        <v>224</v>
      </c>
      <c r="S90" s="9">
        <v>997077534</v>
      </c>
      <c r="T90" s="11" t="s">
        <v>225</v>
      </c>
      <c r="U90" s="15"/>
      <c r="V90" s="15"/>
      <c r="W90" s="15"/>
    </row>
    <row r="91" spans="3:23" x14ac:dyDescent="0.3">
      <c r="C91" s="12">
        <v>198428337</v>
      </c>
      <c r="D91" s="16" t="s">
        <v>155</v>
      </c>
      <c r="E91" s="17" t="s">
        <v>273</v>
      </c>
      <c r="F91" s="9"/>
      <c r="G91" s="9"/>
      <c r="H91" s="9"/>
      <c r="I91" s="9"/>
      <c r="J91" s="9">
        <v>15000</v>
      </c>
      <c r="K91" s="9"/>
      <c r="L91" s="9"/>
      <c r="M91" s="9"/>
      <c r="N91" s="9"/>
      <c r="O91" s="9">
        <f>SUM([1]BASE!$J91:$N91)</f>
        <v>15000</v>
      </c>
      <c r="P91" s="9"/>
      <c r="Q91" s="9">
        <f>[1]BASE!$O91-[1]BASE!$P91</f>
        <v>15000</v>
      </c>
      <c r="R91" s="9" t="s">
        <v>224</v>
      </c>
      <c r="S91" s="9">
        <v>966636545</v>
      </c>
      <c r="T91" s="11" t="s">
        <v>225</v>
      </c>
      <c r="U91" s="15"/>
      <c r="V91" s="15"/>
      <c r="W91" s="15"/>
    </row>
    <row r="92" spans="3:23" x14ac:dyDescent="0.3">
      <c r="C92" s="12">
        <v>72174917</v>
      </c>
      <c r="D92" s="16" t="s">
        <v>156</v>
      </c>
      <c r="E92" s="17" t="s">
        <v>274</v>
      </c>
      <c r="F92" s="9"/>
      <c r="G92" s="9"/>
      <c r="H92" s="9"/>
      <c r="I92" s="9"/>
      <c r="J92" s="9">
        <v>15000</v>
      </c>
      <c r="K92" s="9"/>
      <c r="L92" s="9"/>
      <c r="M92" s="9"/>
      <c r="N92" s="9"/>
      <c r="O92" s="9">
        <f>SUM([1]BASE!$J92:$N92)</f>
        <v>15000</v>
      </c>
      <c r="P92" s="9">
        <v>15000</v>
      </c>
      <c r="Q92" s="9">
        <f>[1]BASE!$O92-[1]BASE!$P92</f>
        <v>0</v>
      </c>
      <c r="R92" s="9" t="s">
        <v>224</v>
      </c>
      <c r="S92" s="9">
        <v>990543043</v>
      </c>
      <c r="T92" s="11" t="s">
        <v>225</v>
      </c>
      <c r="U92" s="15"/>
      <c r="V92" s="15"/>
      <c r="W92" s="15"/>
    </row>
    <row r="93" spans="3:23" x14ac:dyDescent="0.3">
      <c r="C93" s="12">
        <v>184885719</v>
      </c>
      <c r="D93" s="16" t="s">
        <v>157</v>
      </c>
      <c r="E93" s="17" t="s">
        <v>274</v>
      </c>
      <c r="F93" s="9"/>
      <c r="G93" s="9"/>
      <c r="H93" s="9"/>
      <c r="I93" s="9"/>
      <c r="J93" s="9">
        <v>15000</v>
      </c>
      <c r="K93" s="9"/>
      <c r="L93" s="9"/>
      <c r="M93" s="9"/>
      <c r="N93" s="9"/>
      <c r="O93" s="9">
        <f>SUM([1]BASE!$J93:$N93)</f>
        <v>15000</v>
      </c>
      <c r="P93" s="9"/>
      <c r="Q93" s="9">
        <f>[1]BASE!$O93-[1]BASE!$P93</f>
        <v>15000</v>
      </c>
      <c r="R93" s="9" t="s">
        <v>224</v>
      </c>
      <c r="S93" s="9">
        <v>941895280</v>
      </c>
      <c r="T93" s="11" t="s">
        <v>225</v>
      </c>
      <c r="U93" s="15"/>
      <c r="V93" s="15"/>
      <c r="W93" s="15"/>
    </row>
    <row r="94" spans="3:23" x14ac:dyDescent="0.3">
      <c r="C94" s="12">
        <v>100460963</v>
      </c>
      <c r="D94" s="16" t="s">
        <v>158</v>
      </c>
      <c r="E94" s="17" t="s">
        <v>275</v>
      </c>
      <c r="F94" s="9"/>
      <c r="G94" s="9"/>
      <c r="H94" s="9"/>
      <c r="I94" s="9"/>
      <c r="J94" s="9">
        <v>15000</v>
      </c>
      <c r="K94" s="9"/>
      <c r="L94" s="9"/>
      <c r="M94" s="9"/>
      <c r="N94" s="9"/>
      <c r="O94" s="9">
        <f>SUM([1]BASE!$J94:$N94)</f>
        <v>15000</v>
      </c>
      <c r="P94" s="9"/>
      <c r="Q94" s="9">
        <f>[1]BASE!$O94-[1]BASE!$P94</f>
        <v>15000</v>
      </c>
      <c r="R94" s="9" t="s">
        <v>224</v>
      </c>
      <c r="S94" s="9">
        <v>940441061</v>
      </c>
      <c r="T94" s="11" t="s">
        <v>225</v>
      </c>
      <c r="U94" s="15"/>
      <c r="V94" s="15"/>
      <c r="W94" s="15"/>
    </row>
    <row r="95" spans="3:23" x14ac:dyDescent="0.3">
      <c r="C95" s="12">
        <v>101022110</v>
      </c>
      <c r="D95" s="16" t="s">
        <v>159</v>
      </c>
      <c r="E95" s="17" t="s">
        <v>276</v>
      </c>
      <c r="F95" s="9"/>
      <c r="G95" s="9"/>
      <c r="H95" s="9"/>
      <c r="I95" s="9"/>
      <c r="J95" s="9">
        <v>15000</v>
      </c>
      <c r="K95" s="9"/>
      <c r="L95" s="9"/>
      <c r="M95" s="9"/>
      <c r="N95" s="9"/>
      <c r="O95" s="9">
        <f>SUM([1]BASE!$J95:$N95)</f>
        <v>15000</v>
      </c>
      <c r="P95" s="9"/>
      <c r="Q95" s="9">
        <f>[1]BASE!$O95-[1]BASE!$P95</f>
        <v>15000</v>
      </c>
      <c r="R95" s="9" t="s">
        <v>224</v>
      </c>
      <c r="S95" s="9">
        <v>942213837</v>
      </c>
      <c r="T95" s="11" t="s">
        <v>225</v>
      </c>
      <c r="U95" s="15"/>
      <c r="V95" s="15"/>
      <c r="W95" s="15"/>
    </row>
    <row r="96" spans="3:23" x14ac:dyDescent="0.3">
      <c r="C96" s="12">
        <v>50938190</v>
      </c>
      <c r="D96" s="16" t="s">
        <v>160</v>
      </c>
      <c r="E96" s="17" t="s">
        <v>276</v>
      </c>
      <c r="F96" s="9"/>
      <c r="G96" s="9"/>
      <c r="H96" s="9"/>
      <c r="I96" s="9"/>
      <c r="J96" s="9">
        <v>15000</v>
      </c>
      <c r="K96" s="9"/>
      <c r="L96" s="9"/>
      <c r="M96" s="9"/>
      <c r="N96" s="9"/>
      <c r="O96" s="9">
        <f>SUM([1]BASE!$J96:$N96)</f>
        <v>15000</v>
      </c>
      <c r="P96" s="9"/>
      <c r="Q96" s="9">
        <f>[1]BASE!$O96-[1]BASE!$P96</f>
        <v>15000</v>
      </c>
      <c r="R96" s="9" t="s">
        <v>224</v>
      </c>
      <c r="S96" s="9">
        <v>979792744</v>
      </c>
      <c r="T96" s="11" t="s">
        <v>225</v>
      </c>
      <c r="U96" s="15"/>
      <c r="V96" s="15"/>
      <c r="W96" s="15"/>
    </row>
    <row r="97" spans="3:23" x14ac:dyDescent="0.3">
      <c r="C97" s="12">
        <v>79376531</v>
      </c>
      <c r="D97" s="16" t="s">
        <v>161</v>
      </c>
      <c r="E97" s="17" t="s">
        <v>261</v>
      </c>
      <c r="F97" s="9"/>
      <c r="G97" s="9"/>
      <c r="H97" s="9"/>
      <c r="I97" s="9"/>
      <c r="J97" s="9">
        <v>15000</v>
      </c>
      <c r="K97" s="9"/>
      <c r="L97" s="9"/>
      <c r="M97" s="9"/>
      <c r="N97" s="9"/>
      <c r="O97" s="9">
        <f>SUM([1]BASE!$J97:$N97)</f>
        <v>15000</v>
      </c>
      <c r="P97" s="9"/>
      <c r="Q97" s="9">
        <f>[1]BASE!$O97-[1]BASE!$P97</f>
        <v>15000</v>
      </c>
      <c r="R97" s="9" t="s">
        <v>224</v>
      </c>
      <c r="S97" s="9">
        <v>993248130</v>
      </c>
      <c r="T97" s="11" t="s">
        <v>225</v>
      </c>
      <c r="U97" s="15"/>
      <c r="V97" s="15"/>
      <c r="W97" s="15"/>
    </row>
    <row r="98" spans="3:23" x14ac:dyDescent="0.3">
      <c r="C98" s="12">
        <v>126265689</v>
      </c>
      <c r="D98" s="16" t="s">
        <v>163</v>
      </c>
      <c r="E98" s="17" t="s">
        <v>277</v>
      </c>
      <c r="F98" s="9"/>
      <c r="G98" s="9"/>
      <c r="H98" s="9"/>
      <c r="I98" s="9"/>
      <c r="J98" s="9">
        <v>15000</v>
      </c>
      <c r="K98" s="9"/>
      <c r="L98" s="9"/>
      <c r="M98" s="9"/>
      <c r="N98" s="9"/>
      <c r="O98" s="9">
        <f>SUM([1]BASE!$J98:$N98)</f>
        <v>15000</v>
      </c>
      <c r="P98" s="9"/>
      <c r="Q98" s="9">
        <f>[1]BASE!$O98-[1]BASE!$P98</f>
        <v>15000</v>
      </c>
      <c r="R98" s="9" t="s">
        <v>224</v>
      </c>
      <c r="S98" s="9">
        <v>959594926</v>
      </c>
      <c r="T98" s="11" t="s">
        <v>225</v>
      </c>
      <c r="U98" s="15"/>
      <c r="V98" s="15"/>
      <c r="W98" s="15"/>
    </row>
    <row r="99" spans="3:23" x14ac:dyDescent="0.3">
      <c r="C99" s="12">
        <v>126845499</v>
      </c>
      <c r="D99" s="16" t="s">
        <v>164</v>
      </c>
      <c r="E99" s="17" t="s">
        <v>277</v>
      </c>
      <c r="F99" s="9"/>
      <c r="G99" s="9"/>
      <c r="H99" s="9"/>
      <c r="I99" s="9"/>
      <c r="J99" s="9">
        <v>15000</v>
      </c>
      <c r="K99" s="9"/>
      <c r="L99" s="9"/>
      <c r="M99" s="9"/>
      <c r="N99" s="9"/>
      <c r="O99" s="9">
        <f>SUM([1]BASE!$J99:$N99)</f>
        <v>15000</v>
      </c>
      <c r="P99" s="9"/>
      <c r="Q99" s="9">
        <f>[1]BASE!$O99-[1]BASE!$P99</f>
        <v>15000</v>
      </c>
      <c r="R99" s="9" t="s">
        <v>224</v>
      </c>
      <c r="S99" s="9">
        <v>963101378</v>
      </c>
      <c r="T99" s="11" t="s">
        <v>225</v>
      </c>
      <c r="U99" s="15"/>
      <c r="V99" s="15"/>
      <c r="W99" s="15"/>
    </row>
    <row r="100" spans="3:23" x14ac:dyDescent="0.3">
      <c r="C100" s="12">
        <v>76261318</v>
      </c>
      <c r="D100" s="16" t="s">
        <v>165</v>
      </c>
      <c r="E100" s="17" t="s">
        <v>278</v>
      </c>
      <c r="F100" s="9"/>
      <c r="G100" s="9"/>
      <c r="H100" s="9"/>
      <c r="I100" s="9"/>
      <c r="J100" s="9">
        <v>15000</v>
      </c>
      <c r="K100" s="9"/>
      <c r="L100" s="9"/>
      <c r="M100" s="9"/>
      <c r="N100" s="9"/>
      <c r="O100" s="9">
        <f>SUM([1]BASE!$J100:$N100)</f>
        <v>15000</v>
      </c>
      <c r="P100" s="9"/>
      <c r="Q100" s="9">
        <f>[1]BASE!$O100-[1]BASE!$P100</f>
        <v>15000</v>
      </c>
      <c r="R100" s="9" t="s">
        <v>224</v>
      </c>
      <c r="S100" s="9">
        <v>978466635</v>
      </c>
      <c r="T100" s="11" t="s">
        <v>225</v>
      </c>
      <c r="U100" s="15"/>
      <c r="V100" s="15"/>
      <c r="W100" s="15"/>
    </row>
    <row r="101" spans="3:23" x14ac:dyDescent="0.3">
      <c r="C101" s="12">
        <v>106892350</v>
      </c>
      <c r="D101" s="16" t="s">
        <v>166</v>
      </c>
      <c r="E101" s="17" t="s">
        <v>278</v>
      </c>
      <c r="F101" s="9"/>
      <c r="G101" s="9"/>
      <c r="H101" s="9"/>
      <c r="I101" s="9"/>
      <c r="J101" s="9">
        <v>15000</v>
      </c>
      <c r="K101" s="9"/>
      <c r="L101" s="9"/>
      <c r="M101" s="9"/>
      <c r="N101" s="9"/>
      <c r="O101" s="9">
        <f>SUM([1]BASE!$J101:$N101)</f>
        <v>15000</v>
      </c>
      <c r="P101" s="9"/>
      <c r="Q101" s="9">
        <f>[1]BASE!$O101-[1]BASE!$P101</f>
        <v>15000</v>
      </c>
      <c r="R101" s="9" t="s">
        <v>224</v>
      </c>
      <c r="S101" s="9">
        <v>993304193</v>
      </c>
      <c r="T101" s="11" t="s">
        <v>225</v>
      </c>
      <c r="U101" s="15"/>
      <c r="V101" s="15"/>
      <c r="W101" s="15"/>
    </row>
    <row r="102" spans="3:23" x14ac:dyDescent="0.3">
      <c r="C102" s="12">
        <v>162106694</v>
      </c>
      <c r="D102" s="16" t="s">
        <v>167</v>
      </c>
      <c r="E102" s="17" t="s">
        <v>279</v>
      </c>
      <c r="F102" s="9"/>
      <c r="G102" s="9"/>
      <c r="H102" s="9"/>
      <c r="I102" s="9"/>
      <c r="J102" s="9">
        <v>15000</v>
      </c>
      <c r="K102" s="9"/>
      <c r="L102" s="9"/>
      <c r="M102" s="9"/>
      <c r="N102" s="9"/>
      <c r="O102" s="9">
        <f>SUM([1]BASE!$J102:$N102)</f>
        <v>15000</v>
      </c>
      <c r="P102" s="9"/>
      <c r="Q102" s="9">
        <f>[1]BASE!$O102-[1]BASE!$P102</f>
        <v>15000</v>
      </c>
      <c r="R102" s="9" t="s">
        <v>224</v>
      </c>
      <c r="S102" s="9">
        <v>996114115</v>
      </c>
      <c r="T102" s="11" t="s">
        <v>225</v>
      </c>
      <c r="U102" s="15"/>
      <c r="V102" s="15"/>
      <c r="W102" s="15"/>
    </row>
    <row r="103" spans="3:23" x14ac:dyDescent="0.3">
      <c r="C103" s="12">
        <v>183235664</v>
      </c>
      <c r="D103" s="16" t="s">
        <v>168</v>
      </c>
      <c r="E103" s="17" t="s">
        <v>279</v>
      </c>
      <c r="F103" s="9"/>
      <c r="G103" s="9"/>
      <c r="H103" s="9"/>
      <c r="I103" s="9"/>
      <c r="J103" s="9">
        <v>15000</v>
      </c>
      <c r="K103" s="9"/>
      <c r="L103" s="9"/>
      <c r="M103" s="9"/>
      <c r="N103" s="9"/>
      <c r="O103" s="9">
        <f>SUM([1]BASE!$J103:$N103)</f>
        <v>15000</v>
      </c>
      <c r="P103" s="9"/>
      <c r="Q103" s="9">
        <f>[1]BASE!$O103-[1]BASE!$P103</f>
        <v>15000</v>
      </c>
      <c r="R103" s="9" t="s">
        <v>224</v>
      </c>
      <c r="S103" s="9">
        <v>954409093</v>
      </c>
      <c r="T103" s="11" t="s">
        <v>225</v>
      </c>
      <c r="U103" s="15"/>
      <c r="V103" s="15"/>
      <c r="W103" s="15"/>
    </row>
    <row r="104" spans="3:23" x14ac:dyDescent="0.3">
      <c r="C104" s="12">
        <v>85791230</v>
      </c>
      <c r="D104" s="16" t="s">
        <v>169</v>
      </c>
      <c r="E104" s="17" t="s">
        <v>280</v>
      </c>
      <c r="F104" s="9"/>
      <c r="G104" s="9"/>
      <c r="H104" s="9"/>
      <c r="I104" s="9"/>
      <c r="J104" s="9">
        <v>15000</v>
      </c>
      <c r="K104" s="9"/>
      <c r="L104" s="9"/>
      <c r="M104" s="9"/>
      <c r="N104" s="9"/>
      <c r="O104" s="9">
        <f>SUM([1]BASE!$J104:$N104)</f>
        <v>15000</v>
      </c>
      <c r="P104" s="9"/>
      <c r="Q104" s="9">
        <f>[1]BASE!$O104-[1]BASE!$P104</f>
        <v>15000</v>
      </c>
      <c r="R104" s="9" t="s">
        <v>224</v>
      </c>
      <c r="S104" s="9">
        <v>982362424</v>
      </c>
      <c r="T104" s="11" t="s">
        <v>225</v>
      </c>
      <c r="U104" s="15"/>
      <c r="V104" s="15"/>
      <c r="W104" s="15"/>
    </row>
    <row r="105" spans="3:23" x14ac:dyDescent="0.3">
      <c r="C105" s="12">
        <v>91549654</v>
      </c>
      <c r="D105" s="16" t="s">
        <v>170</v>
      </c>
      <c r="E105" s="17" t="s">
        <v>280</v>
      </c>
      <c r="F105" s="9"/>
      <c r="G105" s="9"/>
      <c r="H105" s="9"/>
      <c r="I105" s="9"/>
      <c r="J105" s="9">
        <v>15000</v>
      </c>
      <c r="K105" s="9"/>
      <c r="L105" s="9"/>
      <c r="M105" s="9"/>
      <c r="N105" s="9"/>
      <c r="O105" s="9">
        <f>SUM([1]BASE!$J105:$N105)</f>
        <v>15000</v>
      </c>
      <c r="P105" s="9"/>
      <c r="Q105" s="9">
        <f>[1]BASE!$O105-[1]BASE!$P105</f>
        <v>15000</v>
      </c>
      <c r="R105" s="9" t="s">
        <v>224</v>
      </c>
      <c r="S105" s="9">
        <v>989213911</v>
      </c>
      <c r="T105" s="11" t="s">
        <v>225</v>
      </c>
      <c r="U105" s="15"/>
      <c r="V105" s="15"/>
      <c r="W105" s="15"/>
    </row>
    <row r="106" spans="3:23" x14ac:dyDescent="0.3">
      <c r="C106" s="12">
        <v>99823747</v>
      </c>
      <c r="D106" s="16" t="s">
        <v>171</v>
      </c>
      <c r="E106" s="17" t="s">
        <v>281</v>
      </c>
      <c r="F106" s="9"/>
      <c r="G106" s="9"/>
      <c r="H106" s="9"/>
      <c r="I106" s="9"/>
      <c r="J106" s="9">
        <v>15000</v>
      </c>
      <c r="K106" s="9"/>
      <c r="L106" s="9"/>
      <c r="M106" s="9"/>
      <c r="N106" s="9"/>
      <c r="O106" s="9">
        <f>SUM([1]BASE!$J106:$N106)</f>
        <v>15000</v>
      </c>
      <c r="P106" s="9"/>
      <c r="Q106" s="9">
        <f>[1]BASE!$O106-[1]BASE!$P106</f>
        <v>15000</v>
      </c>
      <c r="R106" s="9" t="s">
        <v>224</v>
      </c>
      <c r="S106" s="9">
        <v>979674153</v>
      </c>
      <c r="T106" s="11" t="s">
        <v>225</v>
      </c>
      <c r="U106" s="15"/>
      <c r="V106" s="15"/>
      <c r="W106" s="15"/>
    </row>
    <row r="107" spans="3:23" x14ac:dyDescent="0.3">
      <c r="C107" s="12">
        <v>84080853</v>
      </c>
      <c r="D107" s="16" t="s">
        <v>172</v>
      </c>
      <c r="E107" s="17" t="s">
        <v>282</v>
      </c>
      <c r="F107" s="9"/>
      <c r="G107" s="9"/>
      <c r="H107" s="9"/>
      <c r="I107" s="9"/>
      <c r="J107" s="9">
        <v>15000</v>
      </c>
      <c r="K107" s="9"/>
      <c r="L107" s="9"/>
      <c r="M107" s="9"/>
      <c r="N107" s="9"/>
      <c r="O107" s="9">
        <f>SUM([1]BASE!$J107:$N107)</f>
        <v>15000</v>
      </c>
      <c r="P107" s="9"/>
      <c r="Q107" s="9">
        <f>[1]BASE!$O107-[1]BASE!$P107</f>
        <v>15000</v>
      </c>
      <c r="R107" s="9" t="s">
        <v>224</v>
      </c>
      <c r="S107" s="9">
        <v>962279227</v>
      </c>
      <c r="T107" s="11" t="s">
        <v>225</v>
      </c>
      <c r="U107" s="15"/>
      <c r="V107" s="15"/>
      <c r="W107" s="15"/>
    </row>
    <row r="108" spans="3:23" x14ac:dyDescent="0.3">
      <c r="C108" s="12">
        <v>177862606</v>
      </c>
      <c r="D108" s="16" t="s">
        <v>173</v>
      </c>
      <c r="E108" s="17" t="s">
        <v>283</v>
      </c>
      <c r="F108" s="9"/>
      <c r="G108" s="9"/>
      <c r="H108" s="9"/>
      <c r="I108" s="9"/>
      <c r="J108" s="9">
        <v>15000</v>
      </c>
      <c r="K108" s="9"/>
      <c r="L108" s="9"/>
      <c r="M108" s="9"/>
      <c r="N108" s="9"/>
      <c r="O108" s="9">
        <f>SUM([1]BASE!$J108:$N108)</f>
        <v>15000</v>
      </c>
      <c r="P108" s="9"/>
      <c r="Q108" s="9">
        <f>[1]BASE!$O108-[1]BASE!$P108</f>
        <v>15000</v>
      </c>
      <c r="R108" s="9" t="s">
        <v>224</v>
      </c>
      <c r="S108" s="9">
        <v>986777799</v>
      </c>
      <c r="T108" s="11" t="s">
        <v>225</v>
      </c>
      <c r="U108" s="15"/>
      <c r="V108" s="15"/>
      <c r="W108" s="15"/>
    </row>
    <row r="109" spans="3:23" x14ac:dyDescent="0.3">
      <c r="C109" s="12">
        <v>76233837</v>
      </c>
      <c r="D109" s="16" t="s">
        <v>174</v>
      </c>
      <c r="E109" s="17" t="s">
        <v>283</v>
      </c>
      <c r="F109" s="9"/>
      <c r="G109" s="9"/>
      <c r="H109" s="9"/>
      <c r="I109" s="9"/>
      <c r="J109" s="9">
        <v>15000</v>
      </c>
      <c r="K109" s="9"/>
      <c r="L109" s="9"/>
      <c r="M109" s="9"/>
      <c r="N109" s="9"/>
      <c r="O109" s="9">
        <f>SUM([1]BASE!$J109:$N109)</f>
        <v>15000</v>
      </c>
      <c r="P109" s="9"/>
      <c r="Q109" s="9">
        <f>[1]BASE!$O109-[1]BASE!$P109</f>
        <v>15000</v>
      </c>
      <c r="R109" s="9" t="s">
        <v>224</v>
      </c>
      <c r="S109" s="9">
        <v>961764892</v>
      </c>
      <c r="T109" s="11" t="s">
        <v>225</v>
      </c>
      <c r="U109" s="15"/>
      <c r="V109" s="15"/>
      <c r="W109" s="15"/>
    </row>
    <row r="110" spans="3:23" x14ac:dyDescent="0.3">
      <c r="C110" s="12">
        <v>121316714</v>
      </c>
      <c r="D110" s="16" t="s">
        <v>162</v>
      </c>
      <c r="E110" s="17" t="s">
        <v>284</v>
      </c>
      <c r="F110" s="9">
        <v>27012026</v>
      </c>
      <c r="G110" s="9"/>
      <c r="H110" s="9"/>
      <c r="I110" s="9"/>
      <c r="J110" s="9">
        <v>15000</v>
      </c>
      <c r="K110" s="9">
        <v>15000</v>
      </c>
      <c r="L110" s="9"/>
      <c r="M110" s="9"/>
      <c r="N110" s="9"/>
      <c r="O110" s="9">
        <f>SUM([1]BASE!$J110:$N110)</f>
        <v>30000</v>
      </c>
      <c r="P110" s="9"/>
      <c r="Q110" s="9">
        <f>[1]BASE!$O110-[1]BASE!$P110</f>
        <v>30000</v>
      </c>
      <c r="R110" s="9" t="s">
        <v>224</v>
      </c>
      <c r="S110" s="9">
        <v>994497719</v>
      </c>
      <c r="T110" s="11" t="s">
        <v>225</v>
      </c>
      <c r="U110" s="15"/>
      <c r="V110" s="15"/>
      <c r="W110" s="15"/>
    </row>
    <row r="111" spans="3:23" x14ac:dyDescent="0.3">
      <c r="C111" s="12">
        <v>39557916</v>
      </c>
      <c r="D111" s="16" t="s">
        <v>175</v>
      </c>
      <c r="E111" s="17" t="s">
        <v>285</v>
      </c>
      <c r="F111" s="9"/>
      <c r="G111" s="9"/>
      <c r="H111" s="9"/>
      <c r="I111" s="9"/>
      <c r="J111" s="9">
        <v>15000</v>
      </c>
      <c r="K111" s="9"/>
      <c r="L111" s="9"/>
      <c r="M111" s="9"/>
      <c r="N111" s="9"/>
      <c r="O111" s="9">
        <f>SUM([1]BASE!$J111:$N111)</f>
        <v>15000</v>
      </c>
      <c r="P111" s="9"/>
      <c r="Q111" s="9">
        <f>[1]BASE!$O111-[1]BASE!$P111</f>
        <v>15000</v>
      </c>
      <c r="R111" s="9" t="s">
        <v>224</v>
      </c>
      <c r="S111" s="9">
        <v>997458394</v>
      </c>
      <c r="T111" s="11" t="s">
        <v>225</v>
      </c>
      <c r="U111" s="15"/>
      <c r="V111" s="15"/>
      <c r="W111" s="15"/>
    </row>
    <row r="112" spans="3:23" x14ac:dyDescent="0.3">
      <c r="C112" s="12">
        <v>154265007</v>
      </c>
      <c r="D112" s="16" t="s">
        <v>176</v>
      </c>
      <c r="E112" s="17" t="s">
        <v>285</v>
      </c>
      <c r="F112" s="9"/>
      <c r="G112" s="9"/>
      <c r="H112" s="9"/>
      <c r="I112" s="9"/>
      <c r="J112" s="9">
        <v>15000</v>
      </c>
      <c r="K112" s="9"/>
      <c r="L112" s="9"/>
      <c r="M112" s="9"/>
      <c r="N112" s="9"/>
      <c r="O112" s="9">
        <f>SUM([1]BASE!$J112:$N112)</f>
        <v>15000</v>
      </c>
      <c r="P112" s="9"/>
      <c r="Q112" s="9">
        <f>[1]BASE!$O112-[1]BASE!$P112</f>
        <v>15000</v>
      </c>
      <c r="R112" s="9" t="s">
        <v>224</v>
      </c>
      <c r="S112" s="9">
        <v>974893122</v>
      </c>
      <c r="T112" s="11" t="s">
        <v>225</v>
      </c>
      <c r="U112" s="15"/>
      <c r="V112" s="15"/>
      <c r="W112" s="15"/>
    </row>
    <row r="113" spans="3:23" x14ac:dyDescent="0.3">
      <c r="C113" s="12" t="s">
        <v>220</v>
      </c>
      <c r="D113" s="16" t="s">
        <v>177</v>
      </c>
      <c r="E113" s="17" t="s">
        <v>285</v>
      </c>
      <c r="F113" s="9"/>
      <c r="G113" s="9"/>
      <c r="H113" s="9"/>
      <c r="I113" s="9"/>
      <c r="J113" s="9">
        <v>15000</v>
      </c>
      <c r="K113" s="9"/>
      <c r="L113" s="9"/>
      <c r="M113" s="9"/>
      <c r="N113" s="9"/>
      <c r="O113" s="9">
        <f>SUM([1]BASE!$J113:$N113)</f>
        <v>15000</v>
      </c>
      <c r="P113" s="9"/>
      <c r="Q113" s="9">
        <f>[1]BASE!$O113-[1]BASE!$P113</f>
        <v>15000</v>
      </c>
      <c r="R113" s="9" t="s">
        <v>224</v>
      </c>
      <c r="S113" s="9">
        <v>975782210</v>
      </c>
      <c r="T113" s="11" t="s">
        <v>225</v>
      </c>
      <c r="U113" s="15"/>
      <c r="V113" s="15"/>
      <c r="W113" s="15"/>
    </row>
    <row r="114" spans="3:23" x14ac:dyDescent="0.3">
      <c r="C114" s="12">
        <v>219734018</v>
      </c>
      <c r="D114" s="16" t="s">
        <v>178</v>
      </c>
      <c r="E114" s="17" t="s">
        <v>286</v>
      </c>
      <c r="F114" s="9"/>
      <c r="G114" s="9"/>
      <c r="H114" s="9"/>
      <c r="I114" s="9"/>
      <c r="J114" s="9">
        <v>15000</v>
      </c>
      <c r="K114" s="9"/>
      <c r="L114" s="9"/>
      <c r="M114" s="9"/>
      <c r="N114" s="9"/>
      <c r="O114" s="9">
        <f>SUM([1]BASE!$J114:$N114)</f>
        <v>15000</v>
      </c>
      <c r="P114" s="9"/>
      <c r="Q114" s="9">
        <f>[1]BASE!$O114-[1]BASE!$P114</f>
        <v>15000</v>
      </c>
      <c r="R114" s="9" t="s">
        <v>224</v>
      </c>
      <c r="S114" s="9">
        <v>992360368</v>
      </c>
      <c r="T114" s="11" t="s">
        <v>225</v>
      </c>
      <c r="U114" s="15"/>
      <c r="V114" s="15"/>
      <c r="W114" s="15"/>
    </row>
    <row r="115" spans="3:23" x14ac:dyDescent="0.3">
      <c r="C115" s="12">
        <v>85480065</v>
      </c>
      <c r="D115" s="16" t="s">
        <v>179</v>
      </c>
      <c r="E115" s="17" t="s">
        <v>286</v>
      </c>
      <c r="F115" s="9"/>
      <c r="G115" s="9"/>
      <c r="H115" s="9"/>
      <c r="I115" s="9"/>
      <c r="J115" s="9">
        <v>15000</v>
      </c>
      <c r="K115" s="9"/>
      <c r="L115" s="9"/>
      <c r="M115" s="9"/>
      <c r="N115" s="9"/>
      <c r="O115" s="9">
        <f>SUM([1]BASE!$J115:$N115)</f>
        <v>15000</v>
      </c>
      <c r="P115" s="9"/>
      <c r="Q115" s="9">
        <f>[1]BASE!$O115-[1]BASE!$P115</f>
        <v>15000</v>
      </c>
      <c r="R115" s="9" t="s">
        <v>224</v>
      </c>
      <c r="S115" s="9">
        <v>994994826</v>
      </c>
      <c r="T115" s="11" t="s">
        <v>225</v>
      </c>
      <c r="U115" s="15"/>
      <c r="V115" s="15"/>
      <c r="W115" s="15"/>
    </row>
    <row r="116" spans="3:23" x14ac:dyDescent="0.3">
      <c r="C116" s="12">
        <v>71917061</v>
      </c>
      <c r="D116" s="16" t="s">
        <v>180</v>
      </c>
      <c r="E116" s="17" t="s">
        <v>286</v>
      </c>
      <c r="F116" s="9"/>
      <c r="G116" s="9"/>
      <c r="H116" s="9"/>
      <c r="I116" s="9"/>
      <c r="J116" s="9">
        <v>15000</v>
      </c>
      <c r="K116" s="9"/>
      <c r="L116" s="9"/>
      <c r="M116" s="9"/>
      <c r="N116" s="9"/>
      <c r="O116" s="9">
        <f>SUM([1]BASE!$J116:$N116)</f>
        <v>15000</v>
      </c>
      <c r="P116" s="9"/>
      <c r="Q116" s="9">
        <f>[1]BASE!$O116-[1]BASE!$P116</f>
        <v>15000</v>
      </c>
      <c r="R116" s="9" t="s">
        <v>224</v>
      </c>
      <c r="S116" s="9">
        <v>992227405</v>
      </c>
      <c r="T116" s="11" t="s">
        <v>225</v>
      </c>
      <c r="U116" s="15"/>
      <c r="V116" s="15"/>
      <c r="W116" s="15"/>
    </row>
    <row r="117" spans="3:23" x14ac:dyDescent="0.3">
      <c r="C117" s="12">
        <v>98995315</v>
      </c>
      <c r="D117" s="16" t="s">
        <v>181</v>
      </c>
      <c r="E117" s="17" t="s">
        <v>287</v>
      </c>
      <c r="F117" s="9"/>
      <c r="G117" s="9"/>
      <c r="H117" s="9"/>
      <c r="I117" s="9"/>
      <c r="J117" s="9">
        <v>15000</v>
      </c>
      <c r="K117" s="9"/>
      <c r="L117" s="9"/>
      <c r="M117" s="9"/>
      <c r="N117" s="9"/>
      <c r="O117" s="9">
        <f>SUM([1]BASE!$J117:$N117)</f>
        <v>15000</v>
      </c>
      <c r="P117" s="9"/>
      <c r="Q117" s="9">
        <f>[1]BASE!$O117-[1]BASE!$P117</f>
        <v>15000</v>
      </c>
      <c r="R117" s="9" t="s">
        <v>224</v>
      </c>
      <c r="S117" s="9">
        <v>948565487</v>
      </c>
      <c r="T117" s="11" t="s">
        <v>225</v>
      </c>
      <c r="U117" s="15"/>
      <c r="V117" s="15"/>
      <c r="W117" s="15"/>
    </row>
    <row r="118" spans="3:23" x14ac:dyDescent="0.3">
      <c r="C118" s="12">
        <v>129781920</v>
      </c>
      <c r="D118" s="16" t="s">
        <v>182</v>
      </c>
      <c r="E118" s="17" t="s">
        <v>288</v>
      </c>
      <c r="F118" s="9"/>
      <c r="G118" s="9"/>
      <c r="H118" s="9"/>
      <c r="I118" s="9"/>
      <c r="J118" s="9">
        <v>15000</v>
      </c>
      <c r="K118" s="9"/>
      <c r="L118" s="9"/>
      <c r="M118" s="9"/>
      <c r="N118" s="9"/>
      <c r="O118" s="9">
        <f>SUM([1]BASE!$J118:$N118)</f>
        <v>15000</v>
      </c>
      <c r="P118" s="9"/>
      <c r="Q118" s="9">
        <f>[1]BASE!$O118-[1]BASE!$P118</f>
        <v>15000</v>
      </c>
      <c r="R118" s="9" t="s">
        <v>224</v>
      </c>
      <c r="S118" s="9">
        <v>998843934</v>
      </c>
      <c r="T118" s="11" t="s">
        <v>225</v>
      </c>
      <c r="U118" s="15"/>
      <c r="V118" s="15"/>
      <c r="W118" s="15"/>
    </row>
    <row r="119" spans="3:23" x14ac:dyDescent="0.3">
      <c r="C119" s="12">
        <v>123127846</v>
      </c>
      <c r="D119" s="16" t="s">
        <v>183</v>
      </c>
      <c r="E119" s="17" t="s">
        <v>289</v>
      </c>
      <c r="F119" s="9"/>
      <c r="G119" s="9"/>
      <c r="H119" s="9"/>
      <c r="I119" s="9"/>
      <c r="J119" s="9">
        <v>15000</v>
      </c>
      <c r="K119" s="9"/>
      <c r="L119" s="9"/>
      <c r="M119" s="9"/>
      <c r="N119" s="9"/>
      <c r="O119" s="9">
        <f>SUM([1]BASE!$J119:$N119)</f>
        <v>15000</v>
      </c>
      <c r="P119" s="9"/>
      <c r="Q119" s="9">
        <f>[1]BASE!$O119-[1]BASE!$P119</f>
        <v>15000</v>
      </c>
      <c r="R119" s="9" t="s">
        <v>224</v>
      </c>
      <c r="S119" s="9">
        <v>966182376</v>
      </c>
      <c r="T119" s="11" t="s">
        <v>225</v>
      </c>
      <c r="U119" s="15"/>
      <c r="V119" s="15"/>
      <c r="W119" s="15"/>
    </row>
    <row r="120" spans="3:23" x14ac:dyDescent="0.3">
      <c r="C120" s="12">
        <v>65536404</v>
      </c>
      <c r="D120" s="16" t="s">
        <v>184</v>
      </c>
      <c r="E120" s="17" t="s">
        <v>289</v>
      </c>
      <c r="F120" s="9"/>
      <c r="G120" s="9"/>
      <c r="H120" s="9"/>
      <c r="I120" s="9"/>
      <c r="J120" s="9">
        <v>15000</v>
      </c>
      <c r="K120" s="9"/>
      <c r="L120" s="9"/>
      <c r="M120" s="9"/>
      <c r="N120" s="9"/>
      <c r="O120" s="9">
        <f>SUM([1]BASE!$J120:$N120)</f>
        <v>15000</v>
      </c>
      <c r="P120" s="9"/>
      <c r="Q120" s="9">
        <f>[1]BASE!$O120-[1]BASE!$P120</f>
        <v>15000</v>
      </c>
      <c r="R120" s="9" t="s">
        <v>224</v>
      </c>
      <c r="S120" s="9">
        <v>990753381</v>
      </c>
      <c r="T120" s="11" t="s">
        <v>225</v>
      </c>
      <c r="U120" s="15"/>
      <c r="V120" s="15"/>
      <c r="W120" s="15"/>
    </row>
    <row r="121" spans="3:23" x14ac:dyDescent="0.3">
      <c r="C121" s="12" t="s">
        <v>221</v>
      </c>
      <c r="D121" s="16" t="s">
        <v>185</v>
      </c>
      <c r="E121" s="17" t="s">
        <v>290</v>
      </c>
      <c r="F121" s="9"/>
      <c r="G121" s="9"/>
      <c r="H121" s="9"/>
      <c r="I121" s="9"/>
      <c r="J121" s="9">
        <v>15000</v>
      </c>
      <c r="K121" s="9"/>
      <c r="L121" s="9"/>
      <c r="M121" s="9"/>
      <c r="N121" s="9"/>
      <c r="O121" s="9">
        <f>SUM([1]BASE!$J121:$N121)</f>
        <v>15000</v>
      </c>
      <c r="P121" s="9"/>
      <c r="Q121" s="9">
        <f>[1]BASE!$O121-[1]BASE!$P121</f>
        <v>15000</v>
      </c>
      <c r="R121" s="9" t="s">
        <v>224</v>
      </c>
      <c r="S121" s="9">
        <v>974149498</v>
      </c>
      <c r="T121" s="11" t="s">
        <v>225</v>
      </c>
      <c r="U121" s="15"/>
      <c r="V121" s="15"/>
      <c r="W121" s="15"/>
    </row>
    <row r="122" spans="3:23" x14ac:dyDescent="0.3">
      <c r="C122" s="12">
        <v>99085894</v>
      </c>
      <c r="D122" s="16" t="s">
        <v>186</v>
      </c>
      <c r="E122" s="17" t="s">
        <v>290</v>
      </c>
      <c r="F122" s="9"/>
      <c r="G122" s="9"/>
      <c r="H122" s="9"/>
      <c r="I122" s="9"/>
      <c r="J122" s="9">
        <v>15000</v>
      </c>
      <c r="K122" s="9"/>
      <c r="L122" s="9"/>
      <c r="M122" s="9"/>
      <c r="N122" s="9"/>
      <c r="O122" s="9">
        <f>SUM([1]BASE!$J122:$N122)</f>
        <v>15000</v>
      </c>
      <c r="P122" s="9"/>
      <c r="Q122" s="9">
        <f>[1]BASE!$O122-[1]BASE!$P122</f>
        <v>15000</v>
      </c>
      <c r="R122" s="9" t="s">
        <v>224</v>
      </c>
      <c r="S122" s="9">
        <v>944829704</v>
      </c>
      <c r="T122" s="11" t="s">
        <v>225</v>
      </c>
      <c r="U122" s="15"/>
      <c r="V122" s="15"/>
      <c r="W122" s="15"/>
    </row>
    <row r="123" spans="3:23" x14ac:dyDescent="0.3">
      <c r="C123" s="12">
        <v>136659820</v>
      </c>
      <c r="D123" s="16" t="s">
        <v>187</v>
      </c>
      <c r="E123" s="17" t="s">
        <v>291</v>
      </c>
      <c r="F123" s="9"/>
      <c r="G123" s="9"/>
      <c r="H123" s="9"/>
      <c r="I123" s="9"/>
      <c r="J123" s="9">
        <v>15000</v>
      </c>
      <c r="K123" s="9"/>
      <c r="L123" s="9"/>
      <c r="M123" s="9"/>
      <c r="N123" s="9"/>
      <c r="O123" s="9">
        <f>SUM([1]BASE!$J123:$N123)</f>
        <v>15000</v>
      </c>
      <c r="P123" s="9"/>
      <c r="Q123" s="9">
        <f>[1]BASE!$O123-[1]BASE!$P123</f>
        <v>15000</v>
      </c>
      <c r="R123" s="9" t="s">
        <v>224</v>
      </c>
      <c r="S123" s="9">
        <v>997433910</v>
      </c>
      <c r="T123" s="11" t="s">
        <v>225</v>
      </c>
      <c r="U123" s="15"/>
      <c r="V123" s="15"/>
      <c r="W123" s="15"/>
    </row>
    <row r="124" spans="3:23" x14ac:dyDescent="0.3">
      <c r="C124" s="12">
        <v>199604546</v>
      </c>
      <c r="D124" s="16" t="s">
        <v>188</v>
      </c>
      <c r="E124" s="17" t="s">
        <v>291</v>
      </c>
      <c r="F124" s="9">
        <v>19032026</v>
      </c>
      <c r="G124" s="9"/>
      <c r="H124" s="9"/>
      <c r="I124" s="9"/>
      <c r="J124" s="9">
        <v>15000</v>
      </c>
      <c r="K124" s="9">
        <v>15000</v>
      </c>
      <c r="L124" s="9"/>
      <c r="M124" s="9"/>
      <c r="N124" s="9"/>
      <c r="O124" s="9">
        <f>SUM([1]BASE!$J124:$N124)</f>
        <v>30000</v>
      </c>
      <c r="P124" s="9"/>
      <c r="Q124" s="9">
        <f>[1]BASE!$O124-[1]BASE!$P124</f>
        <v>30000</v>
      </c>
      <c r="R124" s="9" t="s">
        <v>224</v>
      </c>
      <c r="S124" s="9">
        <v>952229942</v>
      </c>
      <c r="T124" s="11" t="s">
        <v>225</v>
      </c>
      <c r="U124" s="15"/>
      <c r="V124" s="15"/>
      <c r="W124" s="15"/>
    </row>
    <row r="125" spans="3:23" x14ac:dyDescent="0.3">
      <c r="C125" s="12">
        <v>169096406</v>
      </c>
      <c r="D125" s="16" t="s">
        <v>189</v>
      </c>
      <c r="E125" s="17" t="s">
        <v>291</v>
      </c>
      <c r="F125" s="9"/>
      <c r="G125" s="9"/>
      <c r="H125" s="9"/>
      <c r="I125" s="9"/>
      <c r="J125" s="9">
        <v>15000</v>
      </c>
      <c r="K125" s="9"/>
      <c r="L125" s="9"/>
      <c r="M125" s="9"/>
      <c r="N125" s="9"/>
      <c r="O125" s="9">
        <f>SUM([1]BASE!$J125:$N125)</f>
        <v>15000</v>
      </c>
      <c r="P125" s="9"/>
      <c r="Q125" s="9">
        <f>[1]BASE!$O125-[1]BASE!$P125</f>
        <v>15000</v>
      </c>
      <c r="R125" s="9" t="s">
        <v>224</v>
      </c>
      <c r="S125" s="9">
        <v>975251613</v>
      </c>
      <c r="T125" s="11" t="s">
        <v>225</v>
      </c>
      <c r="U125" s="15"/>
      <c r="V125" s="15"/>
      <c r="W125" s="15"/>
    </row>
    <row r="126" spans="3:23" x14ac:dyDescent="0.3">
      <c r="C126" s="12">
        <v>101510751</v>
      </c>
      <c r="D126" s="16" t="s">
        <v>190</v>
      </c>
      <c r="E126" s="17" t="s">
        <v>291</v>
      </c>
      <c r="F126" s="9"/>
      <c r="G126" s="9"/>
      <c r="H126" s="9"/>
      <c r="I126" s="9"/>
      <c r="J126" s="9">
        <v>15000</v>
      </c>
      <c r="K126" s="9"/>
      <c r="L126" s="9"/>
      <c r="M126" s="9"/>
      <c r="N126" s="9"/>
      <c r="O126" s="9">
        <f>SUM([1]BASE!$J126:$N126)</f>
        <v>15000</v>
      </c>
      <c r="P126" s="9"/>
      <c r="Q126" s="9">
        <f>[1]BASE!$O126-[1]BASE!$P126</f>
        <v>15000</v>
      </c>
      <c r="R126" s="9" t="s">
        <v>224</v>
      </c>
      <c r="S126" s="9">
        <v>992199199</v>
      </c>
      <c r="T126" s="11" t="s">
        <v>225</v>
      </c>
      <c r="U126" s="15"/>
      <c r="V126" s="15"/>
      <c r="W126" s="15"/>
    </row>
    <row r="127" spans="3:23" x14ac:dyDescent="0.3">
      <c r="C127" s="12">
        <v>160064455</v>
      </c>
      <c r="D127" s="16" t="s">
        <v>191</v>
      </c>
      <c r="E127" s="17" t="s">
        <v>292</v>
      </c>
      <c r="F127" s="9"/>
      <c r="G127" s="9"/>
      <c r="H127" s="9"/>
      <c r="I127" s="9"/>
      <c r="J127" s="9">
        <v>15000</v>
      </c>
      <c r="K127" s="9"/>
      <c r="L127" s="9"/>
      <c r="M127" s="9"/>
      <c r="N127" s="9"/>
      <c r="O127" s="9">
        <f>SUM([1]BASE!$J127:$N127)</f>
        <v>15000</v>
      </c>
      <c r="P127" s="9"/>
      <c r="Q127" s="9">
        <f>[1]BASE!$O127-[1]BASE!$P127</f>
        <v>15000</v>
      </c>
      <c r="R127" s="9" t="s">
        <v>224</v>
      </c>
      <c r="S127" s="9">
        <v>951785917</v>
      </c>
      <c r="T127" s="11" t="s">
        <v>225</v>
      </c>
      <c r="U127" s="15"/>
      <c r="V127" s="15"/>
      <c r="W127" s="15"/>
    </row>
    <row r="128" spans="3:23" x14ac:dyDescent="0.3">
      <c r="C128" s="12">
        <v>64416405</v>
      </c>
      <c r="D128" s="16" t="s">
        <v>101</v>
      </c>
      <c r="E128" s="17" t="s">
        <v>293</v>
      </c>
      <c r="F128" s="9"/>
      <c r="G128" s="9"/>
      <c r="H128" s="9"/>
      <c r="I128" s="9"/>
      <c r="J128" s="9">
        <v>15000</v>
      </c>
      <c r="K128" s="9"/>
      <c r="L128" s="9"/>
      <c r="M128" s="9"/>
      <c r="N128" s="9"/>
      <c r="O128" s="9">
        <f>SUM([1]BASE!$J128:$N128)</f>
        <v>15000</v>
      </c>
      <c r="P128" s="9"/>
      <c r="Q128" s="9">
        <f>[1]BASE!$O128-[1]BASE!$P128</f>
        <v>15000</v>
      </c>
      <c r="R128" s="9" t="s">
        <v>224</v>
      </c>
      <c r="S128" s="9">
        <v>998708682</v>
      </c>
      <c r="T128" s="11" t="s">
        <v>225</v>
      </c>
      <c r="U128" s="15"/>
      <c r="V128" s="15"/>
      <c r="W128" s="15"/>
    </row>
    <row r="129" spans="3:23" x14ac:dyDescent="0.3">
      <c r="C129" s="12">
        <v>92014274</v>
      </c>
      <c r="D129" s="16" t="s">
        <v>192</v>
      </c>
      <c r="E129" s="17" t="s">
        <v>257</v>
      </c>
      <c r="F129" s="9"/>
      <c r="G129" s="9"/>
      <c r="H129" s="9"/>
      <c r="I129" s="9"/>
      <c r="J129" s="9">
        <v>15000</v>
      </c>
      <c r="K129" s="9"/>
      <c r="L129" s="9"/>
      <c r="M129" s="9"/>
      <c r="N129" s="9"/>
      <c r="O129" s="9">
        <f>SUM([1]BASE!$J129:$N129)</f>
        <v>15000</v>
      </c>
      <c r="P129" s="9"/>
      <c r="Q129" s="9">
        <f>[1]BASE!$O129-[1]BASE!$P129</f>
        <v>15000</v>
      </c>
      <c r="R129" s="9" t="s">
        <v>224</v>
      </c>
      <c r="S129" s="9">
        <v>998712572</v>
      </c>
      <c r="T129" s="11" t="s">
        <v>225</v>
      </c>
      <c r="U129" s="15"/>
      <c r="V129" s="15"/>
      <c r="W129" s="15"/>
    </row>
    <row r="130" spans="3:23" x14ac:dyDescent="0.3">
      <c r="C130" s="12">
        <v>76327467</v>
      </c>
      <c r="D130" s="16" t="s">
        <v>193</v>
      </c>
      <c r="E130" s="17" t="s">
        <v>257</v>
      </c>
      <c r="F130" s="9"/>
      <c r="G130" s="9"/>
      <c r="H130" s="9"/>
      <c r="I130" s="9"/>
      <c r="J130" s="9">
        <v>15000</v>
      </c>
      <c r="K130" s="9"/>
      <c r="L130" s="9"/>
      <c r="M130" s="9"/>
      <c r="N130" s="9"/>
      <c r="O130" s="9">
        <f>SUM([1]BASE!$J130:$N130)</f>
        <v>15000</v>
      </c>
      <c r="P130" s="9"/>
      <c r="Q130" s="9">
        <f>[1]BASE!$O130-[1]BASE!$P130</f>
        <v>15000</v>
      </c>
      <c r="R130" s="9" t="s">
        <v>224</v>
      </c>
      <c r="S130" s="9">
        <v>958987389</v>
      </c>
      <c r="T130" s="11" t="s">
        <v>225</v>
      </c>
      <c r="U130" s="15"/>
      <c r="V130" s="15"/>
      <c r="W130" s="15"/>
    </row>
    <row r="131" spans="3:23" x14ac:dyDescent="0.3">
      <c r="C131" s="12">
        <v>153361347</v>
      </c>
      <c r="D131" s="16" t="s">
        <v>194</v>
      </c>
      <c r="E131" s="17" t="s">
        <v>265</v>
      </c>
      <c r="F131" s="9"/>
      <c r="G131" s="9"/>
      <c r="H131" s="9"/>
      <c r="I131" s="9"/>
      <c r="J131" s="9">
        <v>15000</v>
      </c>
      <c r="K131" s="9"/>
      <c r="L131" s="9"/>
      <c r="M131" s="9"/>
      <c r="N131" s="9"/>
      <c r="O131" s="9">
        <f>SUM([1]BASE!$J131:$N131)</f>
        <v>15000</v>
      </c>
      <c r="P131" s="9"/>
      <c r="Q131" s="9">
        <f>[1]BASE!$O131-[1]BASE!$P131</f>
        <v>15000</v>
      </c>
      <c r="R131" s="9" t="s">
        <v>224</v>
      </c>
      <c r="S131" s="9">
        <v>974724251</v>
      </c>
      <c r="T131" s="11" t="s">
        <v>225</v>
      </c>
      <c r="U131" s="15"/>
      <c r="V131" s="15"/>
      <c r="W131" s="15"/>
    </row>
    <row r="132" spans="3:23" x14ac:dyDescent="0.3">
      <c r="C132" s="12">
        <v>165830644</v>
      </c>
      <c r="D132" s="16" t="s">
        <v>195</v>
      </c>
      <c r="E132" s="17" t="s">
        <v>265</v>
      </c>
      <c r="F132" s="9"/>
      <c r="G132" s="9"/>
      <c r="H132" s="9"/>
      <c r="I132" s="9"/>
      <c r="J132" s="9">
        <v>15000</v>
      </c>
      <c r="K132" s="9"/>
      <c r="L132" s="9"/>
      <c r="M132" s="9"/>
      <c r="N132" s="9"/>
      <c r="O132" s="9">
        <f>SUM([1]BASE!$J132:$N132)</f>
        <v>15000</v>
      </c>
      <c r="P132" s="9"/>
      <c r="Q132" s="9">
        <f>[1]BASE!$O132-[1]BASE!$P132</f>
        <v>15000</v>
      </c>
      <c r="R132" s="9" t="s">
        <v>224</v>
      </c>
      <c r="S132" s="9">
        <v>978829145</v>
      </c>
      <c r="T132" s="11" t="s">
        <v>225</v>
      </c>
      <c r="U132" s="15"/>
      <c r="V132" s="15"/>
      <c r="W132" s="15"/>
    </row>
    <row r="133" spans="3:23" x14ac:dyDescent="0.3">
      <c r="C133" s="12">
        <v>90307614</v>
      </c>
      <c r="D133" s="16" t="s">
        <v>196</v>
      </c>
      <c r="E133" s="17" t="s">
        <v>265</v>
      </c>
      <c r="F133" s="9"/>
      <c r="G133" s="9"/>
      <c r="H133" s="9"/>
      <c r="I133" s="9"/>
      <c r="J133" s="9">
        <v>15000</v>
      </c>
      <c r="K133" s="9"/>
      <c r="L133" s="9"/>
      <c r="M133" s="9"/>
      <c r="N133" s="9"/>
      <c r="O133" s="9">
        <f>SUM([1]BASE!$J133:$N133)</f>
        <v>15000</v>
      </c>
      <c r="P133" s="9"/>
      <c r="Q133" s="9">
        <f>[1]BASE!$O133-[1]BASE!$P133</f>
        <v>15000</v>
      </c>
      <c r="R133" s="9" t="s">
        <v>224</v>
      </c>
      <c r="S133" s="9">
        <v>999185324</v>
      </c>
      <c r="T133" s="11" t="s">
        <v>225</v>
      </c>
      <c r="U133" s="15"/>
      <c r="V133" s="15"/>
      <c r="W133" s="15"/>
    </row>
    <row r="134" spans="3:23" x14ac:dyDescent="0.3">
      <c r="C134" s="12" t="s">
        <v>222</v>
      </c>
      <c r="D134" s="16" t="s">
        <v>197</v>
      </c>
      <c r="E134" s="17" t="s">
        <v>266</v>
      </c>
      <c r="F134" s="9"/>
      <c r="G134" s="9"/>
      <c r="H134" s="9"/>
      <c r="I134" s="9"/>
      <c r="J134" s="9">
        <v>15000</v>
      </c>
      <c r="K134" s="9"/>
      <c r="L134" s="9"/>
      <c r="M134" s="9"/>
      <c r="N134" s="9"/>
      <c r="O134" s="9">
        <f>SUM([1]BASE!$J134:$N134)</f>
        <v>15000</v>
      </c>
      <c r="P134" s="9"/>
      <c r="Q134" s="9">
        <f>[1]BASE!$O134-[1]BASE!$P134</f>
        <v>15000</v>
      </c>
      <c r="R134" s="9" t="s">
        <v>224</v>
      </c>
      <c r="S134" s="9">
        <v>995489999</v>
      </c>
      <c r="T134" s="11" t="s">
        <v>225</v>
      </c>
      <c r="U134" s="15"/>
      <c r="V134" s="15"/>
      <c r="W134" s="15"/>
    </row>
    <row r="135" spans="3:23" x14ac:dyDescent="0.3">
      <c r="C135" s="12">
        <v>194040857</v>
      </c>
      <c r="D135" s="16" t="s">
        <v>198</v>
      </c>
      <c r="E135" s="17" t="s">
        <v>258</v>
      </c>
      <c r="F135" s="9"/>
      <c r="G135" s="9"/>
      <c r="H135" s="9"/>
      <c r="I135" s="9"/>
      <c r="J135" s="9">
        <v>15000</v>
      </c>
      <c r="K135" s="9"/>
      <c r="L135" s="9"/>
      <c r="M135" s="9"/>
      <c r="N135" s="9"/>
      <c r="O135" s="9">
        <f>SUM([1]BASE!$J135:$N135)</f>
        <v>15000</v>
      </c>
      <c r="P135" s="9"/>
      <c r="Q135" s="9">
        <f>[1]BASE!$O135-[1]BASE!$P135</f>
        <v>15000</v>
      </c>
      <c r="R135" s="9" t="s">
        <v>224</v>
      </c>
      <c r="S135" s="9">
        <v>961650825</v>
      </c>
      <c r="T135" s="11" t="s">
        <v>225</v>
      </c>
      <c r="U135" s="15"/>
      <c r="V135" s="15"/>
      <c r="W135" s="15"/>
    </row>
    <row r="136" spans="3:23" x14ac:dyDescent="0.3">
      <c r="C136" s="12">
        <v>62865652</v>
      </c>
      <c r="D136" s="16" t="s">
        <v>199</v>
      </c>
      <c r="E136" s="17" t="s">
        <v>258</v>
      </c>
      <c r="F136" s="9"/>
      <c r="G136" s="9"/>
      <c r="H136" s="9"/>
      <c r="I136" s="9"/>
      <c r="J136" s="9">
        <v>15000</v>
      </c>
      <c r="K136" s="9"/>
      <c r="L136" s="9"/>
      <c r="M136" s="9"/>
      <c r="N136" s="9"/>
      <c r="O136" s="9">
        <f>SUM([1]BASE!$J136:$N136)</f>
        <v>15000</v>
      </c>
      <c r="P136" s="9"/>
      <c r="Q136" s="9">
        <f>[1]BASE!$O136-[1]BASE!$P136</f>
        <v>15000</v>
      </c>
      <c r="R136" s="9" t="s">
        <v>224</v>
      </c>
      <c r="S136" s="9">
        <v>974989211</v>
      </c>
      <c r="T136" s="11" t="s">
        <v>225</v>
      </c>
      <c r="U136" s="15"/>
      <c r="V136" s="15"/>
      <c r="W136" s="15"/>
    </row>
    <row r="137" spans="3:23" x14ac:dyDescent="0.3">
      <c r="C137" s="12">
        <v>779343065</v>
      </c>
      <c r="D137" s="16" t="s">
        <v>200</v>
      </c>
      <c r="E137" s="17" t="s">
        <v>267</v>
      </c>
      <c r="F137" s="9"/>
      <c r="G137" s="9"/>
      <c r="H137" s="9"/>
      <c r="I137" s="9"/>
      <c r="J137" s="9">
        <v>15000</v>
      </c>
      <c r="K137" s="9"/>
      <c r="L137" s="9"/>
      <c r="M137" s="9"/>
      <c r="N137" s="9"/>
      <c r="O137" s="9">
        <f>SUM([1]BASE!$J137:$N137)</f>
        <v>15000</v>
      </c>
      <c r="P137" s="9"/>
      <c r="Q137" s="9">
        <f>[1]BASE!$O137-[1]BASE!$P137</f>
        <v>15000</v>
      </c>
      <c r="R137" s="9" t="s">
        <v>224</v>
      </c>
      <c r="S137" s="9">
        <v>962250535</v>
      </c>
      <c r="T137" s="11" t="s">
        <v>225</v>
      </c>
      <c r="U137" s="15"/>
      <c r="V137" s="15"/>
      <c r="W137" s="15"/>
    </row>
    <row r="138" spans="3:23" x14ac:dyDescent="0.3">
      <c r="C138" s="12">
        <v>104100813</v>
      </c>
      <c r="D138" s="16" t="s">
        <v>201</v>
      </c>
      <c r="E138" s="17" t="s">
        <v>268</v>
      </c>
      <c r="F138" s="9"/>
      <c r="G138" s="9"/>
      <c r="H138" s="9"/>
      <c r="I138" s="9"/>
      <c r="J138" s="9">
        <v>15000</v>
      </c>
      <c r="K138" s="9"/>
      <c r="L138" s="9"/>
      <c r="M138" s="9"/>
      <c r="N138" s="9"/>
      <c r="O138" s="9">
        <f>SUM([1]BASE!$J138:$N138)</f>
        <v>15000</v>
      </c>
      <c r="P138" s="9"/>
      <c r="Q138" s="9">
        <f>[1]BASE!$O138-[1]BASE!$P138</f>
        <v>15000</v>
      </c>
      <c r="R138" s="9" t="s">
        <v>224</v>
      </c>
      <c r="S138" s="9">
        <v>934423877</v>
      </c>
      <c r="T138" s="11" t="s">
        <v>225</v>
      </c>
      <c r="U138" s="15"/>
      <c r="V138" s="15"/>
      <c r="W138" s="15"/>
    </row>
    <row r="139" spans="3:23" x14ac:dyDescent="0.3">
      <c r="C139" s="12">
        <v>140024996</v>
      </c>
      <c r="D139" s="16" t="s">
        <v>202</v>
      </c>
      <c r="E139" s="17" t="s">
        <v>294</v>
      </c>
      <c r="F139" s="9"/>
      <c r="G139" s="9"/>
      <c r="H139" s="9"/>
      <c r="I139" s="9"/>
      <c r="J139" s="9">
        <v>15000</v>
      </c>
      <c r="K139" s="9"/>
      <c r="L139" s="9"/>
      <c r="M139" s="9"/>
      <c r="N139" s="9"/>
      <c r="O139" s="9">
        <f>SUM([1]BASE!$J139:$N139)</f>
        <v>15000</v>
      </c>
      <c r="P139" s="9"/>
      <c r="Q139" s="9">
        <f>[1]BASE!$O139-[1]BASE!$P139</f>
        <v>15000</v>
      </c>
      <c r="R139" s="9" t="s">
        <v>224</v>
      </c>
      <c r="S139" s="9">
        <v>981842688</v>
      </c>
      <c r="T139" s="11" t="s">
        <v>225</v>
      </c>
      <c r="U139" s="15"/>
      <c r="V139" s="15"/>
      <c r="W139" s="15"/>
    </row>
    <row r="140" spans="3:23" x14ac:dyDescent="0.3">
      <c r="C140" s="12">
        <v>130472656</v>
      </c>
      <c r="D140" s="16" t="s">
        <v>203</v>
      </c>
      <c r="E140" s="17" t="s">
        <v>295</v>
      </c>
      <c r="F140" s="9"/>
      <c r="G140" s="9"/>
      <c r="H140" s="9"/>
      <c r="I140" s="9"/>
      <c r="J140" s="9">
        <v>15000</v>
      </c>
      <c r="K140" s="9"/>
      <c r="L140" s="9"/>
      <c r="M140" s="9"/>
      <c r="N140" s="9"/>
      <c r="O140" s="9">
        <f>SUM([1]BASE!$J140:$N140)</f>
        <v>15000</v>
      </c>
      <c r="P140" s="9"/>
      <c r="Q140" s="9">
        <f>[1]BASE!$O140-[1]BASE!$P140</f>
        <v>15000</v>
      </c>
      <c r="R140" s="9" t="s">
        <v>224</v>
      </c>
      <c r="S140" s="9">
        <v>994483588</v>
      </c>
      <c r="T140" s="11" t="s">
        <v>225</v>
      </c>
      <c r="U140" s="15"/>
      <c r="V140" s="15"/>
      <c r="W140" s="15"/>
    </row>
    <row r="141" spans="3:23" x14ac:dyDescent="0.3">
      <c r="C141" s="12">
        <v>203010915</v>
      </c>
      <c r="D141" s="16" t="s">
        <v>204</v>
      </c>
      <c r="E141" s="17" t="s">
        <v>295</v>
      </c>
      <c r="F141" s="9"/>
      <c r="G141" s="9"/>
      <c r="H141" s="9"/>
      <c r="I141" s="9"/>
      <c r="J141" s="9">
        <v>15000</v>
      </c>
      <c r="K141" s="9"/>
      <c r="L141" s="9"/>
      <c r="M141" s="9"/>
      <c r="N141" s="9"/>
      <c r="O141" s="9">
        <f>SUM([1]BASE!$J141:$N141)</f>
        <v>15000</v>
      </c>
      <c r="P141" s="9"/>
      <c r="Q141" s="9">
        <f>[1]BASE!$O141-[1]BASE!$P141</f>
        <v>15000</v>
      </c>
      <c r="R141" s="9" t="s">
        <v>224</v>
      </c>
      <c r="S141" s="9">
        <v>989360454</v>
      </c>
      <c r="T141" s="11" t="s">
        <v>225</v>
      </c>
      <c r="U141" s="15"/>
      <c r="V141" s="15"/>
      <c r="W141" s="15"/>
    </row>
    <row r="142" spans="3:23" x14ac:dyDescent="0.3">
      <c r="C142" s="12">
        <v>116393409</v>
      </c>
      <c r="D142" s="16" t="s">
        <v>205</v>
      </c>
      <c r="E142" s="17" t="s">
        <v>296</v>
      </c>
      <c r="F142" s="9"/>
      <c r="G142" s="9"/>
      <c r="H142" s="9"/>
      <c r="I142" s="9"/>
      <c r="J142" s="9">
        <v>15000</v>
      </c>
      <c r="K142" s="9"/>
      <c r="L142" s="9"/>
      <c r="M142" s="9"/>
      <c r="N142" s="9"/>
      <c r="O142" s="9">
        <f>SUM([1]BASE!$J142:$N142)</f>
        <v>15000</v>
      </c>
      <c r="P142" s="9"/>
      <c r="Q142" s="9">
        <f>[1]BASE!$O142-[1]BASE!$P142</f>
        <v>15000</v>
      </c>
      <c r="R142" s="9" t="s">
        <v>224</v>
      </c>
      <c r="S142" s="9">
        <v>996994150</v>
      </c>
      <c r="T142" s="11" t="s">
        <v>225</v>
      </c>
      <c r="U142" s="15"/>
      <c r="V142" s="15"/>
      <c r="W142" s="15"/>
    </row>
    <row r="143" spans="3:23" x14ac:dyDescent="0.3">
      <c r="C143" s="12">
        <v>106903972</v>
      </c>
      <c r="D143" s="16" t="s">
        <v>206</v>
      </c>
      <c r="E143" s="17" t="s">
        <v>296</v>
      </c>
      <c r="F143" s="9"/>
      <c r="G143" s="9"/>
      <c r="H143" s="9"/>
      <c r="I143" s="9"/>
      <c r="J143" s="9">
        <v>15000</v>
      </c>
      <c r="K143" s="9"/>
      <c r="L143" s="9"/>
      <c r="M143" s="9"/>
      <c r="N143" s="9"/>
      <c r="O143" s="9">
        <f>SUM([1]BASE!$J143:$N143)</f>
        <v>15000</v>
      </c>
      <c r="P143" s="9"/>
      <c r="Q143" s="9">
        <f>[1]BASE!$O143-[1]BASE!$P143</f>
        <v>15000</v>
      </c>
      <c r="R143" s="9" t="s">
        <v>224</v>
      </c>
      <c r="S143" s="9">
        <v>932570436</v>
      </c>
      <c r="T143" s="11" t="s">
        <v>225</v>
      </c>
      <c r="U143" s="15"/>
      <c r="V143" s="15"/>
      <c r="W143" s="15"/>
    </row>
    <row r="144" spans="3:23" x14ac:dyDescent="0.3">
      <c r="C144" s="12">
        <v>137323427</v>
      </c>
      <c r="D144" s="16" t="s">
        <v>207</v>
      </c>
      <c r="E144" s="17" t="s">
        <v>296</v>
      </c>
      <c r="F144" s="9"/>
      <c r="G144" s="9"/>
      <c r="H144" s="9"/>
      <c r="I144" s="9"/>
      <c r="J144" s="9">
        <v>15000</v>
      </c>
      <c r="K144" s="9"/>
      <c r="L144" s="9"/>
      <c r="M144" s="9"/>
      <c r="N144" s="9"/>
      <c r="O144" s="9">
        <f>SUM([1]BASE!$J144:$N144)</f>
        <v>15000</v>
      </c>
      <c r="P144" s="9"/>
      <c r="Q144" s="9">
        <f>[1]BASE!$O144-[1]BASE!$P144</f>
        <v>15000</v>
      </c>
      <c r="R144" s="9" t="s">
        <v>224</v>
      </c>
      <c r="S144" s="9">
        <v>990774903</v>
      </c>
      <c r="T144" s="11" t="s">
        <v>225</v>
      </c>
      <c r="U144" s="15"/>
      <c r="V144" s="15"/>
      <c r="W144" s="15"/>
    </row>
    <row r="145" spans="3:23" x14ac:dyDescent="0.3">
      <c r="C145" s="12">
        <v>126697171</v>
      </c>
      <c r="D145" s="16" t="s">
        <v>208</v>
      </c>
      <c r="E145" s="17" t="s">
        <v>297</v>
      </c>
      <c r="F145" s="9"/>
      <c r="G145" s="9"/>
      <c r="H145" s="9"/>
      <c r="I145" s="9"/>
      <c r="J145" s="9">
        <v>15000</v>
      </c>
      <c r="K145" s="9"/>
      <c r="L145" s="9"/>
      <c r="M145" s="9"/>
      <c r="N145" s="9"/>
      <c r="O145" s="9">
        <f>SUM([1]BASE!$J145:$N145)</f>
        <v>15000</v>
      </c>
      <c r="P145" s="9"/>
      <c r="Q145" s="9">
        <f>[1]BASE!$O145-[1]BASE!$P145</f>
        <v>15000</v>
      </c>
      <c r="R145" s="9" t="s">
        <v>224</v>
      </c>
      <c r="S145" s="9">
        <v>958849084</v>
      </c>
      <c r="T145" s="11" t="s">
        <v>225</v>
      </c>
      <c r="U145" s="15"/>
      <c r="V145" s="15"/>
      <c r="W145" s="15"/>
    </row>
    <row r="146" spans="3:23" x14ac:dyDescent="0.3">
      <c r="C146" s="12">
        <v>77445161</v>
      </c>
      <c r="D146" s="16" t="s">
        <v>209</v>
      </c>
      <c r="E146" s="17" t="s">
        <v>297</v>
      </c>
      <c r="F146" s="9"/>
      <c r="G146" s="9"/>
      <c r="H146" s="9"/>
      <c r="I146" s="9"/>
      <c r="J146" s="9">
        <v>15000</v>
      </c>
      <c r="K146" s="9"/>
      <c r="L146" s="9"/>
      <c r="M146" s="9"/>
      <c r="N146" s="9"/>
      <c r="O146" s="9">
        <f>SUM([1]BASE!$J146:$N146)</f>
        <v>15000</v>
      </c>
      <c r="P146" s="9"/>
      <c r="Q146" s="9">
        <f>[1]BASE!$O146-[1]BASE!$P146</f>
        <v>15000</v>
      </c>
      <c r="R146" s="9" t="s">
        <v>224</v>
      </c>
      <c r="S146" s="9">
        <v>999185327</v>
      </c>
      <c r="T146" s="11" t="s">
        <v>225</v>
      </c>
      <c r="U146" s="15"/>
      <c r="V146" s="15"/>
      <c r="W146" s="15"/>
    </row>
    <row r="147" spans="3:23" x14ac:dyDescent="0.3">
      <c r="C147" s="12">
        <v>144601955</v>
      </c>
      <c r="D147" s="16" t="s">
        <v>210</v>
      </c>
      <c r="E147" s="17" t="s">
        <v>298</v>
      </c>
      <c r="F147" s="9"/>
      <c r="G147" s="9"/>
      <c r="H147" s="9"/>
      <c r="I147" s="9"/>
      <c r="J147" s="9">
        <v>15000</v>
      </c>
      <c r="K147" s="9"/>
      <c r="L147" s="9"/>
      <c r="M147" s="9"/>
      <c r="N147" s="9"/>
      <c r="O147" s="9">
        <f>SUM([1]BASE!$J147:$N147)</f>
        <v>15000</v>
      </c>
      <c r="P147" s="9"/>
      <c r="Q147" s="9">
        <f>[1]BASE!$O147-[1]BASE!$P147</f>
        <v>15000</v>
      </c>
      <c r="R147" s="9" t="s">
        <v>224</v>
      </c>
      <c r="S147" s="9">
        <v>942512447</v>
      </c>
      <c r="T147" s="11" t="s">
        <v>225</v>
      </c>
      <c r="U147" s="15"/>
      <c r="V147" s="15"/>
      <c r="W147" s="15"/>
    </row>
    <row r="148" spans="3:23" x14ac:dyDescent="0.3">
      <c r="C148" s="12">
        <v>194043635</v>
      </c>
      <c r="D148" s="16" t="s">
        <v>211</v>
      </c>
      <c r="E148" s="17" t="s">
        <v>298</v>
      </c>
      <c r="F148" s="9"/>
      <c r="G148" s="9"/>
      <c r="H148" s="9"/>
      <c r="I148" s="9"/>
      <c r="J148" s="9">
        <v>15000</v>
      </c>
      <c r="K148" s="9"/>
      <c r="L148" s="9"/>
      <c r="M148" s="9"/>
      <c r="N148" s="9"/>
      <c r="O148" s="9">
        <f>SUM([1]BASE!$J148:$N148)</f>
        <v>15000</v>
      </c>
      <c r="P148" s="9"/>
      <c r="Q148" s="9">
        <f>[1]BASE!$O148-[1]BASE!$P148</f>
        <v>15000</v>
      </c>
      <c r="R148" s="9" t="s">
        <v>224</v>
      </c>
      <c r="S148" s="9">
        <v>978382102</v>
      </c>
      <c r="T148" s="11" t="s">
        <v>225</v>
      </c>
      <c r="U148" s="15"/>
      <c r="V148" s="15"/>
      <c r="W148" s="15"/>
    </row>
    <row r="149" spans="3:23" x14ac:dyDescent="0.3">
      <c r="C149" s="12">
        <v>184475634</v>
      </c>
      <c r="D149" s="16" t="s">
        <v>212</v>
      </c>
      <c r="E149" s="17" t="s">
        <v>273</v>
      </c>
      <c r="F149" s="9"/>
      <c r="G149" s="9"/>
      <c r="H149" s="9"/>
      <c r="I149" s="9"/>
      <c r="J149" s="9">
        <v>15000</v>
      </c>
      <c r="K149" s="9"/>
      <c r="L149" s="9"/>
      <c r="M149" s="9"/>
      <c r="N149" s="9"/>
      <c r="O149" s="9">
        <f>SUM([1]BASE!$J149:$N149)</f>
        <v>15000</v>
      </c>
      <c r="P149" s="9"/>
      <c r="Q149" s="9">
        <f>[1]BASE!$O149-[1]BASE!$P149</f>
        <v>15000</v>
      </c>
      <c r="R149" s="9" t="s">
        <v>224</v>
      </c>
      <c r="S149" s="9">
        <v>995807205</v>
      </c>
      <c r="T149" s="11" t="s">
        <v>225</v>
      </c>
      <c r="U149" s="15"/>
      <c r="V149" s="15"/>
      <c r="W149" s="15"/>
    </row>
    <row r="150" spans="3:23" x14ac:dyDescent="0.3">
      <c r="C150" s="12">
        <v>138514374</v>
      </c>
      <c r="D150" s="16" t="s">
        <v>123</v>
      </c>
      <c r="E150" s="17" t="s">
        <v>276</v>
      </c>
      <c r="F150" s="9">
        <v>2022026</v>
      </c>
      <c r="G150" s="9"/>
      <c r="H150" s="9"/>
      <c r="I150" s="9"/>
      <c r="J150" s="9">
        <v>15000</v>
      </c>
      <c r="K150" s="9">
        <v>15000</v>
      </c>
      <c r="L150" s="9"/>
      <c r="M150" s="9"/>
      <c r="N150" s="9"/>
      <c r="O150" s="9">
        <f>SUM([1]BASE!$J150:$N150)</f>
        <v>30000</v>
      </c>
      <c r="P150" s="9"/>
      <c r="Q150" s="9">
        <f>[1]BASE!$O150-[1]BASE!$P150</f>
        <v>30000</v>
      </c>
      <c r="R150" s="9" t="s">
        <v>224</v>
      </c>
      <c r="S150" s="9">
        <v>955240402</v>
      </c>
      <c r="T150" s="11" t="s">
        <v>225</v>
      </c>
      <c r="U150" s="15"/>
      <c r="V150" s="15"/>
      <c r="W150" s="15"/>
    </row>
    <row r="151" spans="3:23" x14ac:dyDescent="0.3">
      <c r="C151" s="12">
        <v>134837489</v>
      </c>
      <c r="D151" s="16" t="s">
        <v>213</v>
      </c>
      <c r="E151" s="17" t="s">
        <v>276</v>
      </c>
      <c r="F151" s="9"/>
      <c r="G151" s="9"/>
      <c r="H151" s="9"/>
      <c r="I151" s="9"/>
      <c r="J151" s="9">
        <v>15000</v>
      </c>
      <c r="K151" s="9"/>
      <c r="L151" s="9"/>
      <c r="M151" s="9"/>
      <c r="N151" s="9"/>
      <c r="O151" s="9">
        <f>SUM([1]BASE!$J151:$N151)</f>
        <v>15000</v>
      </c>
      <c r="P151" s="9"/>
      <c r="Q151" s="9">
        <f>[1]BASE!$O151-[1]BASE!$P151</f>
        <v>15000</v>
      </c>
      <c r="R151" s="9" t="s">
        <v>224</v>
      </c>
      <c r="S151" s="9">
        <v>993753491</v>
      </c>
      <c r="T151" s="11" t="s">
        <v>225</v>
      </c>
      <c r="U151" s="15"/>
      <c r="V151" s="15"/>
      <c r="W151" s="15"/>
    </row>
    <row r="152" spans="3:23" x14ac:dyDescent="0.3">
      <c r="C152" s="12">
        <v>140043761</v>
      </c>
      <c r="D152" s="16" t="s">
        <v>214</v>
      </c>
      <c r="E152" s="17" t="s">
        <v>276</v>
      </c>
      <c r="F152" s="9"/>
      <c r="G152" s="9"/>
      <c r="H152" s="9"/>
      <c r="I152" s="9"/>
      <c r="J152" s="9">
        <v>15000</v>
      </c>
      <c r="K152" s="9"/>
      <c r="L152" s="9"/>
      <c r="M152" s="9"/>
      <c r="N152" s="9"/>
      <c r="O152" s="9">
        <f>SUM([1]BASE!$J152:$N152)</f>
        <v>15000</v>
      </c>
      <c r="P152" s="9"/>
      <c r="Q152" s="9">
        <f>[1]BASE!$O152-[1]BASE!$P152</f>
        <v>15000</v>
      </c>
      <c r="R152" s="9" t="s">
        <v>224</v>
      </c>
      <c r="S152" s="9">
        <v>984267191</v>
      </c>
      <c r="T152" s="11" t="s">
        <v>225</v>
      </c>
      <c r="U152" s="15"/>
      <c r="V152" s="15"/>
      <c r="W152" s="15"/>
    </row>
    <row r="153" spans="3:23" x14ac:dyDescent="0.3">
      <c r="C153" s="12">
        <v>98573275</v>
      </c>
      <c r="D153" s="16" t="s">
        <v>215</v>
      </c>
      <c r="E153" s="17" t="s">
        <v>278</v>
      </c>
      <c r="F153" s="9"/>
      <c r="G153" s="9"/>
      <c r="H153" s="9"/>
      <c r="I153" s="9"/>
      <c r="J153" s="9">
        <v>15000</v>
      </c>
      <c r="K153" s="9"/>
      <c r="L153" s="9"/>
      <c r="M153" s="9"/>
      <c r="N153" s="9"/>
      <c r="O153" s="9">
        <f>SUM([1]BASE!$J153:$N153)</f>
        <v>15000</v>
      </c>
      <c r="P153" s="9"/>
      <c r="Q153" s="9">
        <f>[1]BASE!$O153-[1]BASE!$P153</f>
        <v>15000</v>
      </c>
      <c r="R153" s="9" t="s">
        <v>224</v>
      </c>
      <c r="S153" s="9">
        <v>985795091</v>
      </c>
      <c r="T153" s="11" t="s">
        <v>225</v>
      </c>
      <c r="U153" s="15"/>
      <c r="V153" s="15"/>
      <c r="W153" s="15"/>
    </row>
    <row r="154" spans="3:23" x14ac:dyDescent="0.3">
      <c r="C154" s="9">
        <v>187608228</v>
      </c>
      <c r="D154" s="13" t="s">
        <v>299</v>
      </c>
      <c r="E154" s="14" t="s">
        <v>300</v>
      </c>
      <c r="F154" s="9">
        <v>12032026</v>
      </c>
      <c r="G154" s="9">
        <v>26032026</v>
      </c>
      <c r="H154" s="9"/>
      <c r="I154" s="9"/>
      <c r="J154" s="9">
        <v>15000</v>
      </c>
      <c r="K154" s="9">
        <v>15000</v>
      </c>
      <c r="L154" s="9">
        <v>15000</v>
      </c>
      <c r="M154" s="9"/>
      <c r="N154" s="9"/>
      <c r="O154" s="9">
        <f>SUM([1]BASE!$J154:$N154)</f>
        <v>45000</v>
      </c>
      <c r="P154" s="9"/>
      <c r="Q154" s="9">
        <f>[1]BASE!$O154-[1]BASE!$P154</f>
        <v>45000</v>
      </c>
      <c r="R154" s="9" t="s">
        <v>224</v>
      </c>
      <c r="S154" s="9">
        <v>997795737</v>
      </c>
      <c r="T154" s="11" t="s">
        <v>225</v>
      </c>
      <c r="U154" s="15"/>
      <c r="V154" s="15"/>
      <c r="W154" s="15"/>
    </row>
    <row r="155" spans="3:23" x14ac:dyDescent="0.3">
      <c r="C155" s="9">
        <v>203254180</v>
      </c>
      <c r="D155" s="13" t="s">
        <v>301</v>
      </c>
      <c r="E155" s="14" t="s">
        <v>300</v>
      </c>
      <c r="F155" s="9"/>
      <c r="G155" s="9"/>
      <c r="H155" s="9"/>
      <c r="I155" s="9"/>
      <c r="J155" s="9">
        <v>15000</v>
      </c>
      <c r="K155" s="9"/>
      <c r="L155" s="9"/>
      <c r="M155" s="9"/>
      <c r="N155" s="9"/>
      <c r="O155" s="9">
        <f>SUM([1]BASE!$J155:$N155)</f>
        <v>15000</v>
      </c>
      <c r="P155" s="9"/>
      <c r="Q155" s="9">
        <f>[1]BASE!$O155-[1]BASE!$P155</f>
        <v>15000</v>
      </c>
      <c r="R155" s="9" t="s">
        <v>224</v>
      </c>
      <c r="S155" s="9">
        <v>994858566</v>
      </c>
      <c r="T155" s="11" t="s">
        <v>225</v>
      </c>
      <c r="U155" s="15"/>
      <c r="V155" s="15"/>
      <c r="W155" s="15"/>
    </row>
    <row r="156" spans="3:23" x14ac:dyDescent="0.3">
      <c r="C156" s="9">
        <v>47562848</v>
      </c>
      <c r="D156" s="13" t="s">
        <v>302</v>
      </c>
      <c r="E156" s="14" t="s">
        <v>303</v>
      </c>
      <c r="F156" s="9"/>
      <c r="G156" s="9"/>
      <c r="H156" s="9"/>
      <c r="I156" s="9"/>
      <c r="J156" s="9">
        <v>15000</v>
      </c>
      <c r="K156" s="9"/>
      <c r="L156" s="9"/>
      <c r="M156" s="9"/>
      <c r="N156" s="9"/>
      <c r="O156" s="9">
        <f>SUM([1]BASE!$J156:$N156)</f>
        <v>15000</v>
      </c>
      <c r="P156" s="9"/>
      <c r="Q156" s="9">
        <f>[1]BASE!$O156-[1]BASE!$P156</f>
        <v>15000</v>
      </c>
      <c r="R156" s="9" t="s">
        <v>224</v>
      </c>
      <c r="S156" s="9">
        <v>978890220</v>
      </c>
      <c r="T156" s="11" t="s">
        <v>225</v>
      </c>
      <c r="U156" s="15"/>
      <c r="V156" s="15"/>
      <c r="W156" s="15"/>
    </row>
    <row r="157" spans="3:23" x14ac:dyDescent="0.3">
      <c r="C157" s="9">
        <v>290769035</v>
      </c>
      <c r="D157" s="13" t="s">
        <v>304</v>
      </c>
      <c r="E157" s="14" t="s">
        <v>305</v>
      </c>
      <c r="F157" s="9"/>
      <c r="G157" s="9"/>
      <c r="H157" s="9"/>
      <c r="I157" s="9"/>
      <c r="J157" s="9">
        <v>15000</v>
      </c>
      <c r="K157" s="9"/>
      <c r="L157" s="9"/>
      <c r="M157" s="9"/>
      <c r="N157" s="9"/>
      <c r="O157" s="9">
        <f>SUM([1]BASE!$J157:$N157)</f>
        <v>15000</v>
      </c>
      <c r="P157" s="9"/>
      <c r="Q157" s="9">
        <f>[1]BASE!$O157-[1]BASE!$P157</f>
        <v>15000</v>
      </c>
      <c r="R157" s="9" t="s">
        <v>224</v>
      </c>
      <c r="S157" s="9">
        <v>947532810</v>
      </c>
      <c r="T157" s="11" t="s">
        <v>225</v>
      </c>
      <c r="U157" s="13" t="s">
        <v>306</v>
      </c>
      <c r="V157" s="15"/>
      <c r="W157" s="15"/>
    </row>
    <row r="158" spans="3:23" x14ac:dyDescent="0.3">
      <c r="C158" s="9">
        <v>82625348</v>
      </c>
      <c r="D158" s="13" t="s">
        <v>307</v>
      </c>
      <c r="E158" s="14" t="s">
        <v>308</v>
      </c>
      <c r="F158" s="9"/>
      <c r="G158" s="9"/>
      <c r="H158" s="9"/>
      <c r="I158" s="9"/>
      <c r="J158" s="9">
        <v>15000</v>
      </c>
      <c r="K158" s="9"/>
      <c r="L158" s="9"/>
      <c r="M158" s="9"/>
      <c r="N158" s="9"/>
      <c r="O158" s="9">
        <f>SUM([1]BASE!$J158:$N158)</f>
        <v>15000</v>
      </c>
      <c r="P158" s="9"/>
      <c r="Q158" s="9">
        <f>[1]BASE!$O158-[1]BASE!$P158</f>
        <v>15000</v>
      </c>
      <c r="R158" s="9" t="s">
        <v>224</v>
      </c>
      <c r="S158" s="9">
        <v>981778162</v>
      </c>
      <c r="T158" s="11" t="s">
        <v>225</v>
      </c>
      <c r="U158" s="9"/>
      <c r="V158" s="9"/>
      <c r="W158" s="9"/>
    </row>
    <row r="159" spans="3:23" x14ac:dyDescent="0.3">
      <c r="C159" s="9">
        <v>69725244</v>
      </c>
      <c r="D159" s="13" t="s">
        <v>309</v>
      </c>
      <c r="E159" s="14" t="s">
        <v>310</v>
      </c>
      <c r="F159" s="9"/>
      <c r="G159" s="9"/>
      <c r="H159" s="9"/>
      <c r="I159" s="9"/>
      <c r="J159" s="9">
        <v>15000</v>
      </c>
      <c r="K159" s="9"/>
      <c r="L159" s="9"/>
      <c r="M159" s="9"/>
      <c r="N159" s="9"/>
      <c r="O159" s="9">
        <f>SUM([1]BASE!$J159:$N159)</f>
        <v>15000</v>
      </c>
      <c r="P159" s="9"/>
      <c r="Q159" s="9">
        <f>[1]BASE!$O159-[1]BASE!$P159</f>
        <v>15000</v>
      </c>
      <c r="R159" s="9" t="s">
        <v>224</v>
      </c>
      <c r="S159" s="9">
        <v>942370054</v>
      </c>
      <c r="T159" s="11" t="s">
        <v>225</v>
      </c>
      <c r="U159" s="9"/>
      <c r="V159" s="9"/>
      <c r="W159" s="9"/>
    </row>
    <row r="160" spans="3:23" x14ac:dyDescent="0.3">
      <c r="C160" s="9">
        <v>154687289</v>
      </c>
      <c r="D160" s="13" t="s">
        <v>311</v>
      </c>
      <c r="E160" s="14" t="s">
        <v>312</v>
      </c>
      <c r="F160" s="9"/>
      <c r="G160" s="9"/>
      <c r="H160" s="9"/>
      <c r="I160" s="9"/>
      <c r="J160" s="9">
        <v>15000</v>
      </c>
      <c r="K160" s="9"/>
      <c r="L160" s="9"/>
      <c r="M160" s="9"/>
      <c r="N160" s="9"/>
      <c r="O160" s="9">
        <f>SUM([1]BASE!$J160:$N160)</f>
        <v>15000</v>
      </c>
      <c r="P160" s="9"/>
      <c r="Q160" s="9">
        <f>[1]BASE!$O160-[1]BASE!$P160</f>
        <v>15000</v>
      </c>
      <c r="R160" s="9" t="s">
        <v>224</v>
      </c>
      <c r="S160" s="9">
        <v>998846718</v>
      </c>
      <c r="T160" s="11" t="s">
        <v>225</v>
      </c>
      <c r="U160" s="9"/>
      <c r="V160" s="9"/>
      <c r="W160" s="9"/>
    </row>
    <row r="161" spans="3:23" x14ac:dyDescent="0.3">
      <c r="C161" s="9">
        <v>180620710</v>
      </c>
      <c r="D161" s="13" t="s">
        <v>313</v>
      </c>
      <c r="E161" s="14" t="s">
        <v>312</v>
      </c>
      <c r="F161" s="9"/>
      <c r="G161" s="9"/>
      <c r="H161" s="9"/>
      <c r="I161" s="9"/>
      <c r="J161" s="9">
        <v>15000</v>
      </c>
      <c r="K161" s="9"/>
      <c r="L161" s="9"/>
      <c r="M161" s="9"/>
      <c r="N161" s="9"/>
      <c r="O161" s="9">
        <f>SUM([1]BASE!$J161:$N161)</f>
        <v>15000</v>
      </c>
      <c r="P161" s="9"/>
      <c r="Q161" s="9">
        <f>[1]BASE!$O161-[1]BASE!$P161</f>
        <v>15000</v>
      </c>
      <c r="R161" s="9" t="s">
        <v>224</v>
      </c>
      <c r="S161" s="9">
        <v>973378687</v>
      </c>
      <c r="T161" s="11" t="s">
        <v>225</v>
      </c>
      <c r="U161" s="9"/>
      <c r="V161" s="9"/>
      <c r="W161" s="9"/>
    </row>
    <row r="162" spans="3:23" x14ac:dyDescent="0.3">
      <c r="C162" s="9">
        <v>170791312</v>
      </c>
      <c r="D162" s="13" t="s">
        <v>314</v>
      </c>
      <c r="E162" s="14" t="s">
        <v>315</v>
      </c>
      <c r="F162" s="9"/>
      <c r="G162" s="9"/>
      <c r="H162" s="9"/>
      <c r="I162" s="9"/>
      <c r="J162" s="9">
        <v>15000</v>
      </c>
      <c r="K162" s="9"/>
      <c r="L162" s="9"/>
      <c r="M162" s="9"/>
      <c r="N162" s="9"/>
      <c r="O162" s="9">
        <f>SUM([1]BASE!$J162:$N162)</f>
        <v>15000</v>
      </c>
      <c r="P162" s="9"/>
      <c r="Q162" s="9">
        <f>[1]BASE!$O162-[1]BASE!$P162</f>
        <v>15000</v>
      </c>
      <c r="R162" s="9" t="s">
        <v>224</v>
      </c>
      <c r="S162" s="9">
        <v>988175842</v>
      </c>
      <c r="T162" s="11" t="s">
        <v>225</v>
      </c>
      <c r="U162" s="9"/>
      <c r="V162" s="9"/>
      <c r="W162" s="9"/>
    </row>
    <row r="163" spans="3:23" x14ac:dyDescent="0.3">
      <c r="C163" s="9">
        <v>139136128</v>
      </c>
      <c r="D163" s="13" t="s">
        <v>316</v>
      </c>
      <c r="E163" s="14" t="s">
        <v>315</v>
      </c>
      <c r="F163" s="9"/>
      <c r="G163" s="9"/>
      <c r="H163" s="9"/>
      <c r="I163" s="9"/>
      <c r="J163" s="9">
        <v>15000</v>
      </c>
      <c r="K163" s="9"/>
      <c r="L163" s="9"/>
      <c r="M163" s="9"/>
      <c r="N163" s="9"/>
      <c r="O163" s="9">
        <f>SUM([1]BASE!$J163:$N163)</f>
        <v>15000</v>
      </c>
      <c r="P163" s="9">
        <v>15000</v>
      </c>
      <c r="Q163" s="9">
        <f>[1]BASE!$O163-[1]BASE!$P163</f>
        <v>0</v>
      </c>
      <c r="R163" s="9" t="s">
        <v>224</v>
      </c>
      <c r="S163" s="9">
        <v>934323757</v>
      </c>
      <c r="T163" s="11" t="s">
        <v>225</v>
      </c>
      <c r="U163" s="9"/>
      <c r="V163" s="9"/>
      <c r="W163" s="9"/>
    </row>
    <row r="164" spans="3:23" x14ac:dyDescent="0.3">
      <c r="C164" s="18" t="s">
        <v>317</v>
      </c>
      <c r="D164" s="13" t="s">
        <v>318</v>
      </c>
      <c r="E164" s="14" t="s">
        <v>319</v>
      </c>
      <c r="F164" s="9"/>
      <c r="G164" s="9"/>
      <c r="H164" s="9"/>
      <c r="I164" s="9"/>
      <c r="J164" s="9">
        <v>15000</v>
      </c>
      <c r="K164" s="9"/>
      <c r="L164" s="9"/>
      <c r="M164" s="9"/>
      <c r="N164" s="9"/>
      <c r="O164" s="9">
        <f>SUM([1]BASE!$J164:$N164)</f>
        <v>15000</v>
      </c>
      <c r="P164" s="9"/>
      <c r="Q164" s="9">
        <f>[1]BASE!$O164-[1]BASE!$P164</f>
        <v>15000</v>
      </c>
      <c r="R164" s="9" t="s">
        <v>224</v>
      </c>
      <c r="S164" s="9">
        <v>991391211</v>
      </c>
      <c r="T164" s="11" t="s">
        <v>225</v>
      </c>
      <c r="U164" s="9"/>
      <c r="V164" s="9"/>
      <c r="W164" s="9"/>
    </row>
    <row r="165" spans="3:23" x14ac:dyDescent="0.3">
      <c r="C165" s="18" t="s">
        <v>320</v>
      </c>
      <c r="D165" s="13" t="s">
        <v>321</v>
      </c>
      <c r="E165" s="14"/>
      <c r="F165" s="9"/>
      <c r="G165" s="9"/>
      <c r="H165" s="9"/>
      <c r="I165" s="9"/>
      <c r="J165" s="9">
        <v>15000</v>
      </c>
      <c r="K165" s="9"/>
      <c r="L165" s="9"/>
      <c r="M165" s="9"/>
      <c r="N165" s="9"/>
      <c r="O165" s="9">
        <f>SUM([1]BASE!$J165:$N165)</f>
        <v>15000</v>
      </c>
      <c r="P165" s="9"/>
      <c r="Q165" s="9">
        <f>[1]BASE!$O165-[1]BASE!$P165</f>
        <v>15000</v>
      </c>
      <c r="R165" s="9" t="s">
        <v>224</v>
      </c>
      <c r="S165" s="9">
        <v>978497482</v>
      </c>
      <c r="T165" s="11" t="s">
        <v>225</v>
      </c>
      <c r="U165" s="9"/>
      <c r="V165" s="9"/>
      <c r="W165" s="9"/>
    </row>
    <row r="166" spans="3:23" x14ac:dyDescent="0.3">
      <c r="C166" s="9">
        <v>57993820</v>
      </c>
      <c r="D166" s="13" t="s">
        <v>322</v>
      </c>
      <c r="E166" s="14" t="s">
        <v>323</v>
      </c>
      <c r="F166" s="9"/>
      <c r="G166" s="9"/>
      <c r="H166" s="9"/>
      <c r="I166" s="9"/>
      <c r="J166" s="9">
        <v>15000</v>
      </c>
      <c r="K166" s="9"/>
      <c r="L166" s="9"/>
      <c r="M166" s="9"/>
      <c r="N166" s="9"/>
      <c r="O166" s="9">
        <f>SUM([1]BASE!$J166:$N166)</f>
        <v>15000</v>
      </c>
      <c r="P166" s="9"/>
      <c r="Q166" s="9">
        <f>[1]BASE!$O166-[1]BASE!$P166</f>
        <v>15000</v>
      </c>
      <c r="R166" s="9" t="s">
        <v>224</v>
      </c>
      <c r="S166" s="9">
        <v>992317976</v>
      </c>
      <c r="T166" s="11" t="s">
        <v>225</v>
      </c>
      <c r="U166" s="9"/>
      <c r="V166" s="9"/>
      <c r="W166" s="9"/>
    </row>
    <row r="167" spans="3:23" x14ac:dyDescent="0.3">
      <c r="C167" s="9">
        <v>47737702</v>
      </c>
      <c r="D167" s="13" t="s">
        <v>324</v>
      </c>
      <c r="E167" s="14" t="s">
        <v>325</v>
      </c>
      <c r="F167" s="9"/>
      <c r="G167" s="9"/>
      <c r="H167" s="9"/>
      <c r="I167" s="9"/>
      <c r="J167" s="9">
        <v>15000</v>
      </c>
      <c r="K167" s="9"/>
      <c r="L167" s="9"/>
      <c r="M167" s="9"/>
      <c r="N167" s="9"/>
      <c r="O167" s="9">
        <f>SUM([1]BASE!$J167:$N167)</f>
        <v>15000</v>
      </c>
      <c r="P167" s="9"/>
      <c r="Q167" s="9">
        <f>[1]BASE!$O167-[1]BASE!$P167</f>
        <v>15000</v>
      </c>
      <c r="R167" s="9" t="s">
        <v>224</v>
      </c>
      <c r="S167" s="9">
        <v>984096952</v>
      </c>
      <c r="T167" s="11" t="s">
        <v>225</v>
      </c>
      <c r="U167" s="9"/>
      <c r="V167" s="9"/>
      <c r="W167" s="9"/>
    </row>
    <row r="168" spans="3:23" x14ac:dyDescent="0.3">
      <c r="C168" s="9">
        <v>157363123</v>
      </c>
      <c r="D168" s="13" t="s">
        <v>326</v>
      </c>
      <c r="E168" s="14" t="s">
        <v>327</v>
      </c>
      <c r="F168" s="9"/>
      <c r="G168" s="9"/>
      <c r="H168" s="9"/>
      <c r="I168" s="9"/>
      <c r="J168" s="9">
        <v>15000</v>
      </c>
      <c r="K168" s="9"/>
      <c r="L168" s="9"/>
      <c r="M168" s="9"/>
      <c r="N168" s="9"/>
      <c r="O168" s="9">
        <f>SUM([1]BASE!$J168:$N168)</f>
        <v>15000</v>
      </c>
      <c r="P168" s="9"/>
      <c r="Q168" s="9">
        <f>[1]BASE!$O168-[1]BASE!$P168</f>
        <v>15000</v>
      </c>
      <c r="R168" s="9" t="s">
        <v>224</v>
      </c>
      <c r="S168" s="9">
        <v>966354385</v>
      </c>
      <c r="T168" s="11" t="s">
        <v>225</v>
      </c>
      <c r="U168" s="9"/>
      <c r="V168" s="9"/>
      <c r="W168" s="9"/>
    </row>
    <row r="169" spans="3:23" x14ac:dyDescent="0.3">
      <c r="C169" s="9">
        <v>61971521</v>
      </c>
      <c r="D169" s="13" t="s">
        <v>328</v>
      </c>
      <c r="E169" s="14" t="s">
        <v>323</v>
      </c>
      <c r="F169" s="9"/>
      <c r="G169" s="9"/>
      <c r="H169" s="9"/>
      <c r="I169" s="9"/>
      <c r="J169" s="9">
        <v>15000</v>
      </c>
      <c r="K169" s="9"/>
      <c r="L169" s="9"/>
      <c r="M169" s="9"/>
      <c r="N169" s="9"/>
      <c r="O169" s="9">
        <f>SUM([1]BASE!$J169:$N169)</f>
        <v>15000</v>
      </c>
      <c r="P169" s="9"/>
      <c r="Q169" s="9">
        <f>[1]BASE!$O169-[1]BASE!$P169</f>
        <v>15000</v>
      </c>
      <c r="R169" s="9" t="s">
        <v>224</v>
      </c>
      <c r="S169" s="9">
        <v>991282235</v>
      </c>
      <c r="T169" s="11" t="s">
        <v>225</v>
      </c>
      <c r="U169" s="9"/>
      <c r="V169" s="9"/>
      <c r="W169" s="9"/>
    </row>
    <row r="170" spans="3:23" x14ac:dyDescent="0.3">
      <c r="C170" s="9">
        <v>133690182</v>
      </c>
      <c r="D170" s="13" t="s">
        <v>329</v>
      </c>
      <c r="E170" s="14" t="s">
        <v>330</v>
      </c>
      <c r="F170" s="9"/>
      <c r="G170" s="9"/>
      <c r="H170" s="9"/>
      <c r="I170" s="9"/>
      <c r="J170" s="9">
        <v>15000</v>
      </c>
      <c r="K170" s="9"/>
      <c r="L170" s="9"/>
      <c r="M170" s="9"/>
      <c r="N170" s="9"/>
      <c r="O170" s="9">
        <f>SUM([1]BASE!$J170:$N170)</f>
        <v>15000</v>
      </c>
      <c r="P170" s="9"/>
      <c r="Q170" s="9">
        <f>[1]BASE!$O170-[1]BASE!$P170</f>
        <v>15000</v>
      </c>
      <c r="R170" s="9" t="s">
        <v>224</v>
      </c>
      <c r="S170" s="9">
        <v>994346304</v>
      </c>
      <c r="T170" s="11" t="s">
        <v>225</v>
      </c>
      <c r="U170" s="9"/>
      <c r="V170" s="9"/>
      <c r="W170" s="9"/>
    </row>
    <row r="171" spans="3:23" x14ac:dyDescent="0.3">
      <c r="C171" s="9">
        <v>137108860</v>
      </c>
      <c r="D171" s="13" t="s">
        <v>331</v>
      </c>
      <c r="E171" s="14" t="s">
        <v>330</v>
      </c>
      <c r="F171" s="9"/>
      <c r="G171" s="9"/>
      <c r="H171" s="9"/>
      <c r="I171" s="9"/>
      <c r="J171" s="9">
        <v>15000</v>
      </c>
      <c r="K171" s="9"/>
      <c r="L171" s="9"/>
      <c r="M171" s="9"/>
      <c r="N171" s="9"/>
      <c r="O171" s="9">
        <f>SUM([1]BASE!$J171:$N171)</f>
        <v>15000</v>
      </c>
      <c r="P171" s="9"/>
      <c r="Q171" s="9">
        <f>[1]BASE!$O171-[1]BASE!$P171</f>
        <v>15000</v>
      </c>
      <c r="R171" s="9" t="s">
        <v>224</v>
      </c>
      <c r="S171" s="9">
        <v>959093980</v>
      </c>
      <c r="T171" s="11" t="s">
        <v>225</v>
      </c>
      <c r="U171" s="9"/>
      <c r="V171" s="9"/>
      <c r="W171" s="9"/>
    </row>
    <row r="172" spans="3:23" x14ac:dyDescent="0.3">
      <c r="C172" s="9">
        <v>173085370</v>
      </c>
      <c r="D172" s="13" t="s">
        <v>332</v>
      </c>
      <c r="E172" s="14" t="s">
        <v>300</v>
      </c>
      <c r="F172" s="9"/>
      <c r="G172" s="9"/>
      <c r="H172" s="9"/>
      <c r="I172" s="9"/>
      <c r="J172" s="9">
        <v>15000</v>
      </c>
      <c r="K172" s="9"/>
      <c r="L172" s="9"/>
      <c r="M172" s="9"/>
      <c r="N172" s="9"/>
      <c r="O172" s="9">
        <f>SUM([1]BASE!$J172:$N172)</f>
        <v>15000</v>
      </c>
      <c r="P172" s="9"/>
      <c r="Q172" s="9">
        <f>[1]BASE!$O172-[1]BASE!$P172</f>
        <v>15000</v>
      </c>
      <c r="R172" s="9" t="s">
        <v>224</v>
      </c>
      <c r="S172" s="9">
        <v>999416699</v>
      </c>
      <c r="T172" s="11" t="s">
        <v>225</v>
      </c>
      <c r="U172" s="9"/>
      <c r="V172" s="9"/>
      <c r="W172" s="9"/>
    </row>
    <row r="173" spans="3:23" x14ac:dyDescent="0.3">
      <c r="C173" s="9">
        <v>136963376</v>
      </c>
      <c r="D173" s="13" t="s">
        <v>333</v>
      </c>
      <c r="E173" s="14" t="s">
        <v>323</v>
      </c>
      <c r="F173" s="9"/>
      <c r="G173" s="9"/>
      <c r="H173" s="9"/>
      <c r="I173" s="9"/>
      <c r="J173" s="9">
        <v>20000</v>
      </c>
      <c r="K173" s="9"/>
      <c r="L173" s="9"/>
      <c r="M173" s="9"/>
      <c r="N173" s="9"/>
      <c r="O173" s="9">
        <f>SUM([1]BASE!$J173:$N173)</f>
        <v>20000</v>
      </c>
      <c r="P173" s="9">
        <v>20000</v>
      </c>
      <c r="Q173" s="9">
        <f>[1]BASE!$O173-[1]BASE!$P173</f>
        <v>0</v>
      </c>
      <c r="R173" s="9" t="s">
        <v>334</v>
      </c>
      <c r="S173" s="9">
        <v>991282235</v>
      </c>
      <c r="T173" s="11" t="s">
        <v>225</v>
      </c>
      <c r="U173" s="9"/>
      <c r="V173" s="9"/>
      <c r="W173" s="9"/>
    </row>
    <row r="174" spans="3:23" x14ac:dyDescent="0.3">
      <c r="C174" s="9">
        <v>167573487</v>
      </c>
      <c r="D174" s="13" t="s">
        <v>335</v>
      </c>
      <c r="E174" s="14" t="s">
        <v>336</v>
      </c>
      <c r="F174" s="9"/>
      <c r="G174" s="9"/>
      <c r="H174" s="9"/>
      <c r="I174" s="9"/>
      <c r="J174" s="9">
        <v>15000</v>
      </c>
      <c r="K174" s="9"/>
      <c r="L174" s="9"/>
      <c r="M174" s="9"/>
      <c r="N174" s="9"/>
      <c r="O174" s="9">
        <f>SUM([1]BASE!$J174:$N174)</f>
        <v>15000</v>
      </c>
      <c r="P174" s="9"/>
      <c r="Q174" s="9">
        <f>[1]BASE!$O174-[1]BASE!$P174</f>
        <v>15000</v>
      </c>
      <c r="R174" s="9" t="s">
        <v>224</v>
      </c>
      <c r="S174" s="9">
        <v>964584381</v>
      </c>
      <c r="T174" s="11" t="s">
        <v>225</v>
      </c>
      <c r="U174" s="9"/>
      <c r="V174" s="9"/>
      <c r="W174" s="9"/>
    </row>
    <row r="175" spans="3:23" x14ac:dyDescent="0.3">
      <c r="C175" s="9">
        <v>78997435</v>
      </c>
      <c r="D175" s="13" t="s">
        <v>337</v>
      </c>
      <c r="E175" s="14" t="s">
        <v>323</v>
      </c>
      <c r="F175" s="9"/>
      <c r="G175" s="9"/>
      <c r="H175" s="9"/>
      <c r="I175" s="9"/>
      <c r="J175" s="9">
        <v>15000</v>
      </c>
      <c r="K175" s="9"/>
      <c r="L175" s="9"/>
      <c r="M175" s="9"/>
      <c r="N175" s="9"/>
      <c r="O175" s="9">
        <f>SUM([1]BASE!$J175:$N175)</f>
        <v>15000</v>
      </c>
      <c r="P175" s="9"/>
      <c r="Q175" s="9">
        <f>[1]BASE!$O175-[1]BASE!$P175</f>
        <v>15000</v>
      </c>
      <c r="R175" s="9" t="s">
        <v>224</v>
      </c>
      <c r="S175" s="9">
        <v>985056401</v>
      </c>
      <c r="T175" s="11" t="s">
        <v>225</v>
      </c>
      <c r="U175" s="9"/>
      <c r="V175" s="9"/>
      <c r="W175" s="9"/>
    </row>
    <row r="176" spans="3:23" x14ac:dyDescent="0.3">
      <c r="C176" s="9">
        <v>151385664</v>
      </c>
      <c r="D176" s="13" t="s">
        <v>338</v>
      </c>
      <c r="E176" s="14" t="s">
        <v>310</v>
      </c>
      <c r="F176" s="9"/>
      <c r="G176" s="9"/>
      <c r="H176" s="9"/>
      <c r="I176" s="9"/>
      <c r="J176" s="9">
        <v>15000</v>
      </c>
      <c r="K176" s="9"/>
      <c r="L176" s="9"/>
      <c r="M176" s="9"/>
      <c r="N176" s="9"/>
      <c r="O176" s="9">
        <f>SUM([1]BASE!$J176:$N176)</f>
        <v>15000</v>
      </c>
      <c r="P176" s="9"/>
      <c r="Q176" s="9">
        <f>[1]BASE!$O176-[1]BASE!$P176</f>
        <v>15000</v>
      </c>
      <c r="R176" s="9" t="s">
        <v>224</v>
      </c>
      <c r="S176" s="9">
        <v>978089210</v>
      </c>
      <c r="T176" s="11" t="s">
        <v>225</v>
      </c>
      <c r="U176" s="9"/>
      <c r="V176" s="9"/>
      <c r="W176" s="9"/>
    </row>
    <row r="177" spans="3:23" x14ac:dyDescent="0.3">
      <c r="C177" s="9">
        <v>44864185</v>
      </c>
      <c r="D177" s="13" t="s">
        <v>339</v>
      </c>
      <c r="E177" s="14" t="s">
        <v>310</v>
      </c>
      <c r="F177" s="9"/>
      <c r="G177" s="9"/>
      <c r="H177" s="9"/>
      <c r="I177" s="9"/>
      <c r="J177" s="9">
        <v>15000</v>
      </c>
      <c r="K177" s="9"/>
      <c r="L177" s="9"/>
      <c r="M177" s="9"/>
      <c r="N177" s="9"/>
      <c r="O177" s="9">
        <f>SUM([1]BASE!$J177:$N177)</f>
        <v>15000</v>
      </c>
      <c r="P177" s="9"/>
      <c r="Q177" s="9">
        <f>[1]BASE!$O177-[1]BASE!$P177</f>
        <v>15000</v>
      </c>
      <c r="R177" s="9" t="s">
        <v>224</v>
      </c>
      <c r="S177" s="9">
        <v>993992658</v>
      </c>
      <c r="T177" s="11" t="s">
        <v>225</v>
      </c>
      <c r="U177" s="9"/>
      <c r="V177" s="9"/>
      <c r="W177" s="9"/>
    </row>
    <row r="178" spans="3:23" x14ac:dyDescent="0.3">
      <c r="C178" s="9">
        <v>102808347</v>
      </c>
      <c r="D178" s="13" t="s">
        <v>340</v>
      </c>
      <c r="E178" s="14" t="s">
        <v>310</v>
      </c>
      <c r="F178" s="9"/>
      <c r="G178" s="9"/>
      <c r="H178" s="9"/>
      <c r="I178" s="9"/>
      <c r="J178" s="9">
        <v>15000</v>
      </c>
      <c r="K178" s="9"/>
      <c r="L178" s="9"/>
      <c r="M178" s="9"/>
      <c r="N178" s="9"/>
      <c r="O178" s="9">
        <f>SUM([1]BASE!$J178:$N178)</f>
        <v>15000</v>
      </c>
      <c r="P178" s="9"/>
      <c r="Q178" s="9">
        <f>[1]BASE!$O178-[1]BASE!$P178</f>
        <v>15000</v>
      </c>
      <c r="R178" s="9" t="s">
        <v>224</v>
      </c>
      <c r="S178" s="9">
        <v>999727201</v>
      </c>
      <c r="T178" s="11" t="s">
        <v>225</v>
      </c>
      <c r="U178" s="9"/>
      <c r="V178" s="9"/>
      <c r="W178" s="9"/>
    </row>
    <row r="179" spans="3:23" x14ac:dyDescent="0.3">
      <c r="C179" s="9">
        <v>77760717</v>
      </c>
      <c r="D179" s="13" t="s">
        <v>341</v>
      </c>
      <c r="E179" s="14" t="s">
        <v>342</v>
      </c>
      <c r="F179" s="9"/>
      <c r="G179" s="9"/>
      <c r="H179" s="9"/>
      <c r="I179" s="9"/>
      <c r="J179" s="9">
        <v>15000</v>
      </c>
      <c r="K179" s="9"/>
      <c r="L179" s="9"/>
      <c r="M179" s="9"/>
      <c r="N179" s="9"/>
      <c r="O179" s="9">
        <f>SUM([1]BASE!$J179:$N179)</f>
        <v>15000</v>
      </c>
      <c r="P179" s="9"/>
      <c r="Q179" s="9">
        <f>[1]BASE!$O179-[1]BASE!$P179</f>
        <v>15000</v>
      </c>
      <c r="R179" s="9" t="s">
        <v>224</v>
      </c>
      <c r="S179" s="9">
        <v>982883384</v>
      </c>
      <c r="T179" s="11" t="s">
        <v>225</v>
      </c>
      <c r="U179" s="9"/>
      <c r="V179" s="9"/>
      <c r="W179" s="9"/>
    </row>
    <row r="180" spans="3:23" x14ac:dyDescent="0.3">
      <c r="C180" s="9">
        <v>51111648</v>
      </c>
      <c r="D180" s="13" t="s">
        <v>343</v>
      </c>
      <c r="E180" s="14" t="s">
        <v>342</v>
      </c>
      <c r="F180" s="9"/>
      <c r="G180" s="9"/>
      <c r="H180" s="9"/>
      <c r="I180" s="9"/>
      <c r="J180" s="9">
        <v>15000</v>
      </c>
      <c r="K180" s="9"/>
      <c r="L180" s="9"/>
      <c r="M180" s="9"/>
      <c r="N180" s="9"/>
      <c r="O180" s="9">
        <f>SUM([1]BASE!$J180:$N180)</f>
        <v>15000</v>
      </c>
      <c r="P180" s="9"/>
      <c r="Q180" s="9">
        <f>[1]BASE!$O180-[1]BASE!$P180</f>
        <v>15000</v>
      </c>
      <c r="R180" s="9" t="s">
        <v>224</v>
      </c>
      <c r="S180" s="9">
        <v>998869518</v>
      </c>
      <c r="T180" s="11" t="s">
        <v>225</v>
      </c>
      <c r="U180" s="9"/>
      <c r="V180" s="9"/>
      <c r="W180" s="9"/>
    </row>
    <row r="181" spans="3:23" x14ac:dyDescent="0.3">
      <c r="C181" s="9">
        <v>191136497</v>
      </c>
      <c r="D181" s="13" t="s">
        <v>344</v>
      </c>
      <c r="E181" s="14" t="s">
        <v>342</v>
      </c>
      <c r="F181" s="9"/>
      <c r="G181" s="9"/>
      <c r="H181" s="9"/>
      <c r="I181" s="9"/>
      <c r="J181" s="9">
        <v>15000</v>
      </c>
      <c r="K181" s="9"/>
      <c r="L181" s="9"/>
      <c r="M181" s="9"/>
      <c r="N181" s="9"/>
      <c r="O181" s="9">
        <f>SUM([1]BASE!$J181:$N181)</f>
        <v>15000</v>
      </c>
      <c r="P181" s="9"/>
      <c r="Q181" s="9">
        <f>[1]BASE!$O181-[1]BASE!$P181</f>
        <v>15000</v>
      </c>
      <c r="R181" s="9" t="s">
        <v>224</v>
      </c>
      <c r="S181" s="9">
        <v>995329242</v>
      </c>
      <c r="T181" s="11" t="s">
        <v>225</v>
      </c>
      <c r="U181" s="9"/>
      <c r="V181" s="9"/>
      <c r="W181" s="9"/>
    </row>
    <row r="182" spans="3:23" x14ac:dyDescent="0.3">
      <c r="C182" s="9">
        <v>99313013</v>
      </c>
      <c r="D182" s="13" t="s">
        <v>345</v>
      </c>
      <c r="E182" s="14" t="s">
        <v>346</v>
      </c>
      <c r="F182" s="9"/>
      <c r="G182" s="9"/>
      <c r="H182" s="9"/>
      <c r="I182" s="9"/>
      <c r="J182" s="9">
        <v>15000</v>
      </c>
      <c r="K182" s="9"/>
      <c r="L182" s="9"/>
      <c r="M182" s="9"/>
      <c r="N182" s="9"/>
      <c r="O182" s="9">
        <f>SUM([1]BASE!$J182:$N182)</f>
        <v>15000</v>
      </c>
      <c r="P182" s="9"/>
      <c r="Q182" s="9">
        <f>[1]BASE!$O182-[1]BASE!$P182</f>
        <v>15000</v>
      </c>
      <c r="R182" s="9" t="s">
        <v>224</v>
      </c>
      <c r="S182" s="9">
        <v>993752939</v>
      </c>
      <c r="T182" s="11" t="s">
        <v>225</v>
      </c>
      <c r="U182" s="9"/>
      <c r="V182" s="9"/>
      <c r="W182" s="9"/>
    </row>
    <row r="183" spans="3:23" x14ac:dyDescent="0.3">
      <c r="C183" s="9">
        <v>134829567</v>
      </c>
      <c r="D183" s="13" t="s">
        <v>347</v>
      </c>
      <c r="E183" s="14" t="s">
        <v>348</v>
      </c>
      <c r="F183" s="9"/>
      <c r="G183" s="9"/>
      <c r="H183" s="9"/>
      <c r="I183" s="9"/>
      <c r="J183" s="9">
        <v>15000</v>
      </c>
      <c r="K183" s="9"/>
      <c r="L183" s="9"/>
      <c r="M183" s="9"/>
      <c r="N183" s="9"/>
      <c r="O183" s="9">
        <f>SUM([1]BASE!$J183:$N183)</f>
        <v>15000</v>
      </c>
      <c r="P183" s="9"/>
      <c r="Q183" s="9">
        <f>[1]BASE!$O183-[1]BASE!$P183</f>
        <v>15000</v>
      </c>
      <c r="R183" s="9" t="s">
        <v>224</v>
      </c>
      <c r="S183" s="9">
        <v>989032708</v>
      </c>
      <c r="T183" s="11" t="s">
        <v>225</v>
      </c>
      <c r="U183" s="9"/>
      <c r="V183" s="9"/>
      <c r="W183" s="9"/>
    </row>
    <row r="184" spans="3:23" x14ac:dyDescent="0.3">
      <c r="C184" s="9">
        <v>62458666</v>
      </c>
      <c r="D184" s="13" t="s">
        <v>349</v>
      </c>
      <c r="E184" s="14" t="s">
        <v>312</v>
      </c>
      <c r="F184" s="9"/>
      <c r="G184" s="9"/>
      <c r="H184" s="9"/>
      <c r="I184" s="9"/>
      <c r="J184" s="9">
        <v>15000</v>
      </c>
      <c r="K184" s="9"/>
      <c r="L184" s="9"/>
      <c r="M184" s="9"/>
      <c r="N184" s="9"/>
      <c r="O184" s="9">
        <f>SUM([1]BASE!$J184:$N184)</f>
        <v>15000</v>
      </c>
      <c r="P184" s="9">
        <v>15000</v>
      </c>
      <c r="Q184" s="9">
        <f>[1]BASE!$O184-[1]BASE!$P184</f>
        <v>0</v>
      </c>
      <c r="R184" s="9" t="s">
        <v>224</v>
      </c>
      <c r="S184" s="9">
        <v>993169349</v>
      </c>
      <c r="T184" s="11" t="s">
        <v>225</v>
      </c>
      <c r="U184" s="9"/>
      <c r="V184" s="9"/>
      <c r="W184" s="9"/>
    </row>
    <row r="185" spans="3:23" x14ac:dyDescent="0.3">
      <c r="C185" s="9">
        <v>64771418</v>
      </c>
      <c r="D185" s="13" t="s">
        <v>350</v>
      </c>
      <c r="E185" s="14" t="s">
        <v>315</v>
      </c>
      <c r="F185" s="9"/>
      <c r="G185" s="9"/>
      <c r="H185" s="9"/>
      <c r="I185" s="9"/>
      <c r="J185" s="9">
        <v>15000</v>
      </c>
      <c r="K185" s="9"/>
      <c r="L185" s="9"/>
      <c r="M185" s="9"/>
      <c r="N185" s="9"/>
      <c r="O185" s="9">
        <v>15000</v>
      </c>
      <c r="P185" s="9"/>
      <c r="Q185" s="9">
        <v>15000</v>
      </c>
      <c r="R185" s="9" t="s">
        <v>224</v>
      </c>
      <c r="S185" s="9">
        <v>978995932</v>
      </c>
      <c r="T185" s="11" t="s">
        <v>225</v>
      </c>
      <c r="U185" s="9"/>
      <c r="V185" s="9"/>
      <c r="W185" s="9"/>
    </row>
    <row r="186" spans="3:23" x14ac:dyDescent="0.3">
      <c r="C186" s="9">
        <v>121669730</v>
      </c>
      <c r="D186" s="13" t="s">
        <v>351</v>
      </c>
      <c r="E186" s="14" t="s">
        <v>315</v>
      </c>
      <c r="F186" s="9"/>
      <c r="G186" s="9"/>
      <c r="H186" s="9"/>
      <c r="I186" s="9"/>
      <c r="J186" s="9">
        <v>15000</v>
      </c>
      <c r="K186" s="9"/>
      <c r="L186" s="9"/>
      <c r="M186" s="9"/>
      <c r="N186" s="9"/>
      <c r="O186" s="9">
        <f>SUM([1]BASE!$J186:$N186)</f>
        <v>15000</v>
      </c>
      <c r="P186" s="9">
        <v>15000</v>
      </c>
      <c r="Q186" s="9">
        <f>[1]BASE!$O186-[1]BASE!$P186</f>
        <v>0</v>
      </c>
      <c r="R186" s="9" t="s">
        <v>224</v>
      </c>
      <c r="S186" s="9">
        <v>978545191</v>
      </c>
      <c r="T186" s="11" t="s">
        <v>225</v>
      </c>
      <c r="U186" s="9"/>
      <c r="V186" s="9"/>
      <c r="W186" s="9"/>
    </row>
    <row r="187" spans="3:23" x14ac:dyDescent="0.3">
      <c r="C187" s="9">
        <v>90076167</v>
      </c>
      <c r="D187" s="13" t="s">
        <v>352</v>
      </c>
      <c r="E187" s="14" t="s">
        <v>353</v>
      </c>
      <c r="F187" s="9"/>
      <c r="G187" s="9"/>
      <c r="H187" s="9"/>
      <c r="I187" s="9"/>
      <c r="J187" s="9">
        <v>15000</v>
      </c>
      <c r="K187" s="9"/>
      <c r="L187" s="9"/>
      <c r="M187" s="9"/>
      <c r="N187" s="9"/>
      <c r="O187" s="9">
        <f>SUM([1]BASE!$J187:$N187)</f>
        <v>15000</v>
      </c>
      <c r="P187" s="9"/>
      <c r="Q187" s="9">
        <f>[1]BASE!$O187-[1]BASE!$P187</f>
        <v>15000</v>
      </c>
      <c r="R187" s="9" t="s">
        <v>224</v>
      </c>
      <c r="S187" s="9">
        <v>995768599</v>
      </c>
      <c r="T187" s="11" t="s">
        <v>225</v>
      </c>
      <c r="U187" s="9"/>
      <c r="V187" s="9"/>
      <c r="W187" s="9"/>
    </row>
    <row r="188" spans="3:23" x14ac:dyDescent="0.3">
      <c r="C188" s="9">
        <v>141540505</v>
      </c>
      <c r="D188" s="13" t="s">
        <v>354</v>
      </c>
      <c r="E188" s="14" t="s">
        <v>305</v>
      </c>
      <c r="F188" s="9"/>
      <c r="G188" s="9"/>
      <c r="H188" s="9"/>
      <c r="I188" s="9"/>
      <c r="J188" s="9">
        <v>15000</v>
      </c>
      <c r="K188" s="9"/>
      <c r="L188" s="9"/>
      <c r="M188" s="9"/>
      <c r="N188" s="9"/>
      <c r="O188" s="9">
        <f>SUM([1]BASE!$J188:$N188)</f>
        <v>15000</v>
      </c>
      <c r="P188" s="9"/>
      <c r="Q188" s="9">
        <f>[1]BASE!$O188-[1]BASE!$P188</f>
        <v>15000</v>
      </c>
      <c r="R188" s="9" t="s">
        <v>224</v>
      </c>
      <c r="S188" s="9">
        <v>997975778</v>
      </c>
      <c r="T188" s="11" t="s">
        <v>225</v>
      </c>
      <c r="U188" s="9"/>
      <c r="V188" s="9"/>
      <c r="W188" s="9"/>
    </row>
    <row r="189" spans="3:23" x14ac:dyDescent="0.3">
      <c r="C189" s="9">
        <v>85116657</v>
      </c>
      <c r="D189" s="13" t="s">
        <v>355</v>
      </c>
      <c r="E189" s="14" t="s">
        <v>319</v>
      </c>
      <c r="F189" s="9"/>
      <c r="G189" s="9"/>
      <c r="H189" s="9"/>
      <c r="I189" s="9"/>
      <c r="J189" s="9">
        <v>15000</v>
      </c>
      <c r="K189" s="9"/>
      <c r="L189" s="9"/>
      <c r="M189" s="9"/>
      <c r="N189" s="9"/>
      <c r="O189" s="9">
        <f>SUM([1]BASE!$J189:$N189)</f>
        <v>15000</v>
      </c>
      <c r="P189" s="9"/>
      <c r="Q189" s="9">
        <f>[1]BASE!$O189-[1]BASE!$P189</f>
        <v>15000</v>
      </c>
      <c r="R189" s="9" t="s">
        <v>224</v>
      </c>
      <c r="S189" s="9">
        <v>988182414</v>
      </c>
      <c r="T189" s="11" t="s">
        <v>225</v>
      </c>
      <c r="U189" s="9"/>
      <c r="V189" s="9"/>
      <c r="W189" s="9"/>
    </row>
    <row r="190" spans="3:23" x14ac:dyDescent="0.3">
      <c r="C190" s="9">
        <v>136555812</v>
      </c>
      <c r="D190" s="13" t="s">
        <v>356</v>
      </c>
      <c r="E190" s="14" t="s">
        <v>319</v>
      </c>
      <c r="F190" s="9"/>
      <c r="G190" s="9"/>
      <c r="H190" s="9"/>
      <c r="I190" s="9"/>
      <c r="J190" s="9">
        <v>15000</v>
      </c>
      <c r="K190" s="9"/>
      <c r="L190" s="9"/>
      <c r="M190" s="9"/>
      <c r="N190" s="9"/>
      <c r="O190" s="9">
        <f>SUM([1]BASE!$J190:$N190)</f>
        <v>15000</v>
      </c>
      <c r="P190" s="9"/>
      <c r="Q190" s="9">
        <f>[1]BASE!$O190-[1]BASE!$P190</f>
        <v>15000</v>
      </c>
      <c r="R190" s="9" t="s">
        <v>224</v>
      </c>
      <c r="S190" s="9">
        <v>993432528</v>
      </c>
      <c r="T190" s="11" t="s">
        <v>225</v>
      </c>
      <c r="U190" s="9"/>
      <c r="V190" s="9"/>
      <c r="W190" s="9"/>
    </row>
    <row r="191" spans="3:23" x14ac:dyDescent="0.3">
      <c r="C191" s="9">
        <v>66278387</v>
      </c>
      <c r="D191" s="13" t="s">
        <v>357</v>
      </c>
      <c r="E191" s="14" t="s">
        <v>323</v>
      </c>
      <c r="F191" s="9"/>
      <c r="G191" s="9"/>
      <c r="H191" s="9"/>
      <c r="I191" s="9"/>
      <c r="J191" s="9">
        <v>15000</v>
      </c>
      <c r="K191" s="9"/>
      <c r="L191" s="9"/>
      <c r="M191" s="9"/>
      <c r="N191" s="9"/>
      <c r="O191" s="9">
        <f>SUM([1]BASE!$J191:$N191)</f>
        <v>15000</v>
      </c>
      <c r="P191" s="9"/>
      <c r="Q191" s="9">
        <f>[1]BASE!$O191-[1]BASE!$P191</f>
        <v>15000</v>
      </c>
      <c r="R191" s="9" t="s">
        <v>224</v>
      </c>
      <c r="S191" s="9">
        <v>977642259</v>
      </c>
      <c r="T191" s="11" t="s">
        <v>225</v>
      </c>
      <c r="U191" s="9"/>
      <c r="V191" s="9"/>
      <c r="W191" s="9"/>
    </row>
    <row r="192" spans="3:23" x14ac:dyDescent="0.3">
      <c r="C192" s="9">
        <v>59285599</v>
      </c>
      <c r="D192" s="13" t="s">
        <v>358</v>
      </c>
      <c r="E192" s="14" t="s">
        <v>323</v>
      </c>
      <c r="F192" s="9"/>
      <c r="G192" s="9"/>
      <c r="H192" s="9"/>
      <c r="I192" s="9"/>
      <c r="J192" s="9">
        <v>15000</v>
      </c>
      <c r="K192" s="9"/>
      <c r="L192" s="9"/>
      <c r="M192" s="9"/>
      <c r="N192" s="9"/>
      <c r="O192" s="9">
        <f>SUM([1]BASE!$J192:$N192)</f>
        <v>15000</v>
      </c>
      <c r="P192" s="9"/>
      <c r="Q192" s="9">
        <f>[1]BASE!$O192-[1]BASE!$P192</f>
        <v>15000</v>
      </c>
      <c r="R192" s="9" t="s">
        <v>224</v>
      </c>
      <c r="S192" s="9">
        <v>963283565</v>
      </c>
      <c r="T192" s="11" t="s">
        <v>225</v>
      </c>
      <c r="U192" s="9"/>
      <c r="V192" s="9"/>
      <c r="W192" s="9"/>
    </row>
    <row r="193" spans="3:23" x14ac:dyDescent="0.3">
      <c r="C193" s="9">
        <v>63434809</v>
      </c>
      <c r="D193" s="13" t="s">
        <v>359</v>
      </c>
      <c r="E193" s="14" t="s">
        <v>323</v>
      </c>
      <c r="F193" s="9">
        <v>4042026</v>
      </c>
      <c r="G193" s="9"/>
      <c r="H193" s="9"/>
      <c r="I193" s="9"/>
      <c r="J193" s="9">
        <v>15000</v>
      </c>
      <c r="K193" s="9"/>
      <c r="L193" s="9"/>
      <c r="M193" s="9"/>
      <c r="N193" s="9"/>
      <c r="O193" s="9">
        <f>SUM([1]BASE!$J193:$N193)</f>
        <v>15000</v>
      </c>
      <c r="P193" s="9"/>
      <c r="Q193" s="9">
        <f>[1]BASE!$O193-[1]BASE!$P193</f>
        <v>15000</v>
      </c>
      <c r="R193" s="9" t="s">
        <v>224</v>
      </c>
      <c r="S193" s="9">
        <v>997913467</v>
      </c>
      <c r="T193" s="11" t="s">
        <v>225</v>
      </c>
      <c r="U193" s="9"/>
      <c r="V193" s="9"/>
      <c r="W193" s="9"/>
    </row>
    <row r="194" spans="3:23" x14ac:dyDescent="0.3">
      <c r="C194" s="9">
        <v>104279953</v>
      </c>
      <c r="D194" s="13" t="s">
        <v>360</v>
      </c>
      <c r="E194" s="14" t="s">
        <v>323</v>
      </c>
      <c r="F194" s="9"/>
      <c r="G194" s="9"/>
      <c r="H194" s="9"/>
      <c r="I194" s="9"/>
      <c r="J194" s="9">
        <v>15000</v>
      </c>
      <c r="K194" s="9"/>
      <c r="L194" s="9"/>
      <c r="M194" s="9"/>
      <c r="N194" s="9"/>
      <c r="O194" s="9">
        <f>SUM([1]BASE!$J194:$N194)</f>
        <v>15000</v>
      </c>
      <c r="P194" s="9"/>
      <c r="Q194" s="9">
        <f>[1]BASE!$O194-[1]BASE!$P194</f>
        <v>15000</v>
      </c>
      <c r="R194" s="9" t="s">
        <v>224</v>
      </c>
      <c r="S194" s="9">
        <v>998951956</v>
      </c>
      <c r="T194" s="11" t="s">
        <v>225</v>
      </c>
      <c r="U194" s="9"/>
      <c r="V194" s="9"/>
      <c r="W194" s="9"/>
    </row>
    <row r="195" spans="3:23" x14ac:dyDescent="0.3">
      <c r="C195" s="9">
        <v>135461741</v>
      </c>
      <c r="D195" s="9" t="s">
        <v>361</v>
      </c>
      <c r="E195" s="14" t="s">
        <v>362</v>
      </c>
      <c r="F195" s="9"/>
      <c r="G195" s="9"/>
      <c r="H195" s="9"/>
      <c r="I195" s="9"/>
      <c r="J195" s="9">
        <v>15000</v>
      </c>
      <c r="K195" s="9"/>
      <c r="L195" s="9"/>
      <c r="M195" s="9"/>
      <c r="N195" s="9"/>
      <c r="O195" s="9">
        <f>SUM([1]BASE!$J195:$N195)</f>
        <v>15000</v>
      </c>
      <c r="P195" s="9"/>
      <c r="Q195" s="9">
        <f>[1]BASE!$O195-[1]BASE!$P195</f>
        <v>15000</v>
      </c>
      <c r="R195" s="9" t="s">
        <v>224</v>
      </c>
      <c r="S195" s="9">
        <v>990791752</v>
      </c>
      <c r="T195" s="11" t="s">
        <v>225</v>
      </c>
      <c r="U195" s="9"/>
      <c r="V195" s="9"/>
      <c r="W195" s="9"/>
    </row>
    <row r="196" spans="3:23" x14ac:dyDescent="0.3">
      <c r="C196" s="9">
        <v>107585559</v>
      </c>
      <c r="D196" s="9" t="s">
        <v>363</v>
      </c>
      <c r="E196" s="14" t="s">
        <v>364</v>
      </c>
      <c r="F196" s="9"/>
      <c r="G196" s="9"/>
      <c r="H196" s="9"/>
      <c r="I196" s="9"/>
      <c r="J196" s="9">
        <v>15000</v>
      </c>
      <c r="K196" s="9"/>
      <c r="L196" s="9"/>
      <c r="M196" s="9"/>
      <c r="N196" s="9"/>
      <c r="O196" s="9">
        <f>SUM([1]BASE!$J196:$N196)</f>
        <v>15000</v>
      </c>
      <c r="P196" s="9"/>
      <c r="Q196" s="9">
        <f>[1]BASE!$O196-[1]BASE!$P196</f>
        <v>15000</v>
      </c>
      <c r="R196" s="9" t="s">
        <v>224</v>
      </c>
      <c r="S196" s="9">
        <v>961764892</v>
      </c>
      <c r="T196" s="11" t="s">
        <v>225</v>
      </c>
      <c r="U196" s="9"/>
      <c r="V196" s="9"/>
      <c r="W196" s="9"/>
    </row>
    <row r="197" spans="3:23" x14ac:dyDescent="0.3">
      <c r="C197" s="9">
        <v>150871255</v>
      </c>
      <c r="D197" s="9" t="s">
        <v>365</v>
      </c>
      <c r="E197" s="14" t="s">
        <v>364</v>
      </c>
      <c r="F197" s="9"/>
      <c r="G197" s="9"/>
      <c r="H197" s="9"/>
      <c r="I197" s="9"/>
      <c r="J197" s="9">
        <v>15000</v>
      </c>
      <c r="K197" s="9"/>
      <c r="L197" s="9"/>
      <c r="M197" s="9"/>
      <c r="N197" s="9"/>
      <c r="O197" s="9">
        <f>SUM([1]BASE!$J197:$N197)</f>
        <v>15000</v>
      </c>
      <c r="P197" s="9"/>
      <c r="Q197" s="9">
        <f>[1]BASE!$O197-[1]BASE!$P197</f>
        <v>15000</v>
      </c>
      <c r="R197" s="9" t="s">
        <v>224</v>
      </c>
      <c r="S197" s="9">
        <v>996428629</v>
      </c>
      <c r="T197" s="11" t="s">
        <v>225</v>
      </c>
      <c r="U197" s="9"/>
      <c r="V197" s="9"/>
      <c r="W197" s="9"/>
    </row>
    <row r="198" spans="3:23" x14ac:dyDescent="0.3">
      <c r="C198" s="9">
        <v>158405873</v>
      </c>
      <c r="D198" s="9" t="s">
        <v>366</v>
      </c>
      <c r="E198" s="14" t="s">
        <v>364</v>
      </c>
      <c r="F198" s="9"/>
      <c r="G198" s="9"/>
      <c r="H198" s="9"/>
      <c r="I198" s="9"/>
      <c r="J198" s="9">
        <v>15000</v>
      </c>
      <c r="K198" s="9"/>
      <c r="L198" s="9"/>
      <c r="M198" s="9"/>
      <c r="N198" s="9"/>
      <c r="O198" s="9">
        <f>SUM([1]BASE!$J198:$N198)</f>
        <v>15000</v>
      </c>
      <c r="P198" s="9"/>
      <c r="Q198" s="9">
        <f>[1]BASE!$O198-[1]BASE!$P198</f>
        <v>15000</v>
      </c>
      <c r="R198" s="9" t="s">
        <v>224</v>
      </c>
      <c r="S198" s="9">
        <v>946512574</v>
      </c>
      <c r="T198" s="11" t="s">
        <v>225</v>
      </c>
      <c r="U198" s="9"/>
      <c r="V198" s="9"/>
      <c r="W198" s="9"/>
    </row>
    <row r="199" spans="3:23" x14ac:dyDescent="0.3">
      <c r="C199" s="9">
        <v>138874478</v>
      </c>
      <c r="D199" s="13" t="s">
        <v>367</v>
      </c>
      <c r="E199" s="14" t="s">
        <v>368</v>
      </c>
      <c r="F199" s="9"/>
      <c r="G199" s="9"/>
      <c r="H199" s="9"/>
      <c r="I199" s="9"/>
      <c r="J199" s="9">
        <v>15000</v>
      </c>
      <c r="K199" s="9"/>
      <c r="L199" s="9"/>
      <c r="M199" s="9"/>
      <c r="N199" s="9"/>
      <c r="O199" s="9">
        <f>SUM([1]BASE!$J199:$N199)</f>
        <v>15000</v>
      </c>
      <c r="P199" s="9"/>
      <c r="Q199" s="9">
        <f>[1]BASE!$O199-[1]BASE!$P199</f>
        <v>15000</v>
      </c>
      <c r="R199" s="9" t="s">
        <v>224</v>
      </c>
      <c r="S199" s="9">
        <v>953543201</v>
      </c>
      <c r="T199" s="11" t="s">
        <v>225</v>
      </c>
      <c r="U199" s="9"/>
      <c r="V199" s="9"/>
      <c r="W199" s="9"/>
    </row>
    <row r="200" spans="3:23" x14ac:dyDescent="0.3">
      <c r="C200" s="18" t="s">
        <v>369</v>
      </c>
      <c r="D200" s="13" t="s">
        <v>370</v>
      </c>
      <c r="E200" s="14" t="s">
        <v>371</v>
      </c>
      <c r="F200" s="9">
        <v>22042026</v>
      </c>
      <c r="G200" s="9"/>
      <c r="H200" s="9"/>
      <c r="I200" s="9"/>
      <c r="J200" s="9">
        <v>15000</v>
      </c>
      <c r="K200" s="9">
        <v>15000</v>
      </c>
      <c r="L200" s="9"/>
      <c r="M200" s="9"/>
      <c r="N200" s="9"/>
      <c r="O200" s="9">
        <f>SUM([1]BASE!$J200:$N200)</f>
        <v>30000</v>
      </c>
      <c r="P200" s="9"/>
      <c r="Q200" s="9">
        <f>[1]BASE!$O200-[1]BASE!$P200</f>
        <v>30000</v>
      </c>
      <c r="R200" s="9" t="s">
        <v>224</v>
      </c>
      <c r="S200" s="9">
        <v>963143551</v>
      </c>
      <c r="T200" s="11" t="s">
        <v>225</v>
      </c>
      <c r="U200" s="9"/>
      <c r="V200" s="9"/>
      <c r="W200" s="9"/>
    </row>
    <row r="201" spans="3:23" x14ac:dyDescent="0.3">
      <c r="C201" s="9">
        <v>58020265</v>
      </c>
      <c r="D201" s="13" t="s">
        <v>372</v>
      </c>
      <c r="E201" s="14" t="s">
        <v>371</v>
      </c>
      <c r="F201" s="9"/>
      <c r="G201" s="9"/>
      <c r="H201" s="9"/>
      <c r="I201" s="9"/>
      <c r="J201" s="9">
        <v>15000</v>
      </c>
      <c r="K201" s="9"/>
      <c r="L201" s="9"/>
      <c r="M201" s="9"/>
      <c r="N201" s="9"/>
      <c r="O201" s="9">
        <f>SUM([1]BASE!$J201:$N201)</f>
        <v>15000</v>
      </c>
      <c r="P201" s="9">
        <v>11700</v>
      </c>
      <c r="Q201" s="9">
        <f>[1]BASE!$O201-[1]BASE!$P201</f>
        <v>3300</v>
      </c>
      <c r="R201" s="9" t="s">
        <v>224</v>
      </c>
      <c r="S201" s="9">
        <v>998793317</v>
      </c>
      <c r="T201" s="11" t="s">
        <v>225</v>
      </c>
      <c r="U201" s="9"/>
      <c r="V201" s="9"/>
      <c r="W201" s="9"/>
    </row>
    <row r="202" spans="3:23" x14ac:dyDescent="0.3">
      <c r="C202" s="9">
        <v>62006706</v>
      </c>
      <c r="D202" s="13" t="s">
        <v>373</v>
      </c>
      <c r="E202" s="14" t="s">
        <v>374</v>
      </c>
      <c r="F202" s="9"/>
      <c r="G202" s="9"/>
      <c r="H202" s="9"/>
      <c r="I202" s="9"/>
      <c r="J202" s="9">
        <v>15000</v>
      </c>
      <c r="K202" s="9"/>
      <c r="L202" s="9"/>
      <c r="M202" s="9"/>
      <c r="N202" s="9"/>
      <c r="O202" s="9">
        <f>SUM([1]BASE!$J202:$N202)</f>
        <v>15000</v>
      </c>
      <c r="P202" s="9"/>
      <c r="Q202" s="9">
        <f>[1]BASE!$O202-[1]BASE!$P202</f>
        <v>15000</v>
      </c>
      <c r="R202" s="9" t="s">
        <v>224</v>
      </c>
      <c r="S202" s="9">
        <v>999056835</v>
      </c>
      <c r="T202" s="11" t="s">
        <v>225</v>
      </c>
      <c r="U202" s="9"/>
      <c r="V202" s="9"/>
      <c r="W202" s="9"/>
    </row>
    <row r="203" spans="3:23" x14ac:dyDescent="0.3">
      <c r="C203" s="9">
        <v>136614061</v>
      </c>
      <c r="D203" s="13" t="s">
        <v>375</v>
      </c>
      <c r="E203" s="14" t="s">
        <v>376</v>
      </c>
      <c r="F203" s="9"/>
      <c r="G203" s="9"/>
      <c r="H203" s="9"/>
      <c r="I203" s="9"/>
      <c r="J203" s="9">
        <v>15000</v>
      </c>
      <c r="K203" s="9"/>
      <c r="L203" s="9"/>
      <c r="M203" s="9"/>
      <c r="N203" s="9"/>
      <c r="O203" s="9">
        <f>SUM([1]BASE!$J203:$N203)</f>
        <v>15000</v>
      </c>
      <c r="P203" s="9"/>
      <c r="Q203" s="9">
        <f>[1]BASE!$O203-[1]BASE!$P203</f>
        <v>15000</v>
      </c>
      <c r="R203" s="9" t="s">
        <v>224</v>
      </c>
      <c r="S203" s="9">
        <v>975237381</v>
      </c>
      <c r="T203" s="11" t="s">
        <v>225</v>
      </c>
      <c r="U203" s="9"/>
      <c r="V203" s="9"/>
      <c r="W203" s="9"/>
    </row>
    <row r="204" spans="3:23" x14ac:dyDescent="0.3">
      <c r="C204" s="9">
        <v>162635476</v>
      </c>
      <c r="D204" s="13" t="s">
        <v>377</v>
      </c>
      <c r="E204" s="14" t="s">
        <v>376</v>
      </c>
      <c r="F204" s="9"/>
      <c r="G204" s="9"/>
      <c r="H204" s="9"/>
      <c r="I204" s="9"/>
      <c r="J204" s="9">
        <v>15000</v>
      </c>
      <c r="K204" s="9"/>
      <c r="L204" s="9"/>
      <c r="M204" s="9"/>
      <c r="N204" s="9"/>
      <c r="O204" s="9">
        <f>SUM([1]BASE!$J204:$N204)</f>
        <v>15000</v>
      </c>
      <c r="P204" s="9"/>
      <c r="Q204" s="9">
        <f>[1]BASE!$O204-[1]BASE!$P204</f>
        <v>15000</v>
      </c>
      <c r="R204" s="9" t="s">
        <v>224</v>
      </c>
      <c r="S204" s="9">
        <v>942119791</v>
      </c>
      <c r="T204" s="11" t="s">
        <v>225</v>
      </c>
      <c r="U204" s="9"/>
      <c r="V204" s="9"/>
      <c r="W204" s="9"/>
    </row>
    <row r="205" spans="3:23" x14ac:dyDescent="0.3">
      <c r="C205" s="9">
        <v>176127902</v>
      </c>
      <c r="D205" s="13" t="s">
        <v>378</v>
      </c>
      <c r="E205" s="14" t="s">
        <v>379</v>
      </c>
      <c r="F205" s="9"/>
      <c r="G205" s="9"/>
      <c r="H205" s="9"/>
      <c r="I205" s="9"/>
      <c r="J205" s="9">
        <v>15000</v>
      </c>
      <c r="K205" s="9"/>
      <c r="L205" s="9"/>
      <c r="M205" s="9"/>
      <c r="N205" s="9"/>
      <c r="O205" s="9">
        <f>SUM([1]BASE!$J205:$N205)</f>
        <v>15000</v>
      </c>
      <c r="P205" s="9"/>
      <c r="Q205" s="9">
        <f>[1]BASE!$O205-[1]BASE!$P205</f>
        <v>15000</v>
      </c>
      <c r="R205" s="9" t="s">
        <v>224</v>
      </c>
      <c r="S205" s="9">
        <v>940124131</v>
      </c>
      <c r="T205" s="11" t="s">
        <v>225</v>
      </c>
      <c r="U205" s="9"/>
      <c r="V205" s="9"/>
      <c r="W205" s="9"/>
    </row>
    <row r="206" spans="3:23" x14ac:dyDescent="0.3">
      <c r="C206" s="9">
        <v>102503678</v>
      </c>
      <c r="D206" s="13" t="s">
        <v>380</v>
      </c>
      <c r="E206" s="14" t="s">
        <v>381</v>
      </c>
      <c r="F206" s="9"/>
      <c r="G206" s="9"/>
      <c r="H206" s="9"/>
      <c r="I206" s="9"/>
      <c r="J206" s="9">
        <v>15000</v>
      </c>
      <c r="K206" s="9"/>
      <c r="L206" s="9"/>
      <c r="M206" s="9"/>
      <c r="N206" s="9"/>
      <c r="O206" s="9">
        <f>SUM([1]BASE!$J206:$N206)</f>
        <v>15000</v>
      </c>
      <c r="P206" s="9"/>
      <c r="Q206" s="9">
        <f>[1]BASE!$O206-[1]BASE!$P206</f>
        <v>15000</v>
      </c>
      <c r="R206" s="9" t="s">
        <v>224</v>
      </c>
      <c r="S206" s="9">
        <v>984643987</v>
      </c>
      <c r="T206" s="11" t="s">
        <v>225</v>
      </c>
      <c r="U206" s="9"/>
      <c r="V206" s="9"/>
      <c r="W206" s="9"/>
    </row>
    <row r="207" spans="3:23" x14ac:dyDescent="0.3">
      <c r="C207" s="9">
        <v>159704548</v>
      </c>
      <c r="D207" s="13" t="s">
        <v>382</v>
      </c>
      <c r="E207" s="14" t="s">
        <v>383</v>
      </c>
      <c r="F207" s="9"/>
      <c r="G207" s="9"/>
      <c r="H207" s="9"/>
      <c r="I207" s="9"/>
      <c r="J207" s="9">
        <v>15000</v>
      </c>
      <c r="K207" s="9"/>
      <c r="L207" s="9"/>
      <c r="M207" s="9"/>
      <c r="N207" s="9"/>
      <c r="O207" s="9">
        <f>SUM([1]BASE!$J207:$N207)</f>
        <v>15000</v>
      </c>
      <c r="P207" s="9"/>
      <c r="Q207" s="9">
        <f>[1]BASE!$O207-[1]BASE!$P207</f>
        <v>15000</v>
      </c>
      <c r="R207" s="9" t="s">
        <v>224</v>
      </c>
      <c r="S207" s="9">
        <v>933037212</v>
      </c>
      <c r="T207" s="11" t="s">
        <v>384</v>
      </c>
      <c r="U207" s="9"/>
      <c r="V207" s="9"/>
      <c r="W207" s="9"/>
    </row>
    <row r="208" spans="3:23" x14ac:dyDescent="0.3">
      <c r="C208" s="9">
        <v>124109396</v>
      </c>
      <c r="D208" s="13" t="s">
        <v>385</v>
      </c>
      <c r="E208" s="14" t="s">
        <v>386</v>
      </c>
      <c r="F208" s="9"/>
      <c r="G208" s="9"/>
      <c r="H208" s="9"/>
      <c r="I208" s="9"/>
      <c r="J208" s="9">
        <v>15000</v>
      </c>
      <c r="K208" s="9"/>
      <c r="L208" s="9"/>
      <c r="M208" s="9"/>
      <c r="N208" s="9"/>
      <c r="O208" s="9">
        <f>SUM([1]BASE!$J208:$N208)</f>
        <v>15000</v>
      </c>
      <c r="P208" s="9"/>
      <c r="Q208" s="9">
        <f>[1]BASE!$O208-[1]BASE!$P208</f>
        <v>15000</v>
      </c>
      <c r="R208" s="9" t="s">
        <v>224</v>
      </c>
      <c r="S208" s="9">
        <v>940936520</v>
      </c>
      <c r="T208" s="11" t="s">
        <v>225</v>
      </c>
      <c r="U208" s="9"/>
      <c r="V208" s="9"/>
      <c r="W208" s="9"/>
    </row>
    <row r="209" spans="3:23" x14ac:dyDescent="0.3">
      <c r="C209" s="18" t="s">
        <v>387</v>
      </c>
      <c r="D209" s="13" t="s">
        <v>388</v>
      </c>
      <c r="E209" s="14" t="s">
        <v>381</v>
      </c>
      <c r="F209" s="9"/>
      <c r="G209" s="9"/>
      <c r="H209" s="9"/>
      <c r="I209" s="9"/>
      <c r="J209" s="9">
        <v>15000</v>
      </c>
      <c r="K209" s="9"/>
      <c r="L209" s="9"/>
      <c r="M209" s="9"/>
      <c r="N209" s="9"/>
      <c r="O209" s="9">
        <f>SUM([1]BASE!$J209:$N209)</f>
        <v>15000</v>
      </c>
      <c r="P209" s="9"/>
      <c r="Q209" s="9">
        <f>[1]BASE!$O209-[1]BASE!$P209</f>
        <v>15000</v>
      </c>
      <c r="R209" s="9" t="s">
        <v>224</v>
      </c>
      <c r="S209" s="9">
        <v>971401937</v>
      </c>
      <c r="T209" s="11" t="s">
        <v>225</v>
      </c>
      <c r="U209" s="9"/>
      <c r="V209" s="9"/>
      <c r="W209" s="9"/>
    </row>
    <row r="210" spans="3:23" x14ac:dyDescent="0.3">
      <c r="C210" s="9">
        <v>63442607</v>
      </c>
      <c r="D210" s="13" t="s">
        <v>389</v>
      </c>
      <c r="E210" s="14" t="s">
        <v>368</v>
      </c>
      <c r="F210" s="9"/>
      <c r="G210" s="9"/>
      <c r="H210" s="9"/>
      <c r="I210" s="9"/>
      <c r="J210" s="9">
        <v>15000</v>
      </c>
      <c r="K210" s="9"/>
      <c r="L210" s="9"/>
      <c r="M210" s="9"/>
      <c r="N210" s="9"/>
      <c r="O210" s="9">
        <f>SUM([1]BASE!$J210:$N210)</f>
        <v>15000</v>
      </c>
      <c r="P210" s="9"/>
      <c r="Q210" s="9">
        <f>[1]BASE!$O210-[1]BASE!$P210</f>
        <v>15000</v>
      </c>
      <c r="R210" s="9" t="s">
        <v>224</v>
      </c>
      <c r="S210" s="9">
        <v>996456684</v>
      </c>
      <c r="T210" s="11" t="s">
        <v>225</v>
      </c>
      <c r="U210" s="9"/>
      <c r="V210" s="9"/>
      <c r="W210" s="9"/>
    </row>
    <row r="211" spans="3:23" x14ac:dyDescent="0.3">
      <c r="C211" s="9">
        <v>60013144</v>
      </c>
      <c r="D211" s="13" t="s">
        <v>390</v>
      </c>
      <c r="E211" s="14" t="s">
        <v>391</v>
      </c>
      <c r="F211" s="9"/>
      <c r="G211" s="9"/>
      <c r="H211" s="9"/>
      <c r="I211" s="9"/>
      <c r="J211" s="9">
        <v>15000</v>
      </c>
      <c r="K211" s="9"/>
      <c r="L211" s="9"/>
      <c r="M211" s="9"/>
      <c r="N211" s="9"/>
      <c r="O211" s="9">
        <f>SUM([1]BASE!$J211:$N211)</f>
        <v>15000</v>
      </c>
      <c r="P211" s="9"/>
      <c r="Q211" s="9">
        <f>[1]BASE!$O211-[1]BASE!$P211</f>
        <v>15000</v>
      </c>
      <c r="R211" s="9" t="s">
        <v>224</v>
      </c>
      <c r="S211" s="9">
        <v>968478001</v>
      </c>
      <c r="T211" s="11" t="s">
        <v>225</v>
      </c>
      <c r="U211" s="9"/>
      <c r="V211" s="9"/>
      <c r="W211" s="9"/>
    </row>
    <row r="212" spans="3:23" x14ac:dyDescent="0.3">
      <c r="C212" s="9">
        <v>112241167</v>
      </c>
      <c r="D212" s="13" t="s">
        <v>392</v>
      </c>
      <c r="E212" s="14" t="s">
        <v>371</v>
      </c>
      <c r="F212" s="9"/>
      <c r="G212" s="9"/>
      <c r="H212" s="9"/>
      <c r="I212" s="9"/>
      <c r="J212" s="9">
        <v>15000</v>
      </c>
      <c r="K212" s="9"/>
      <c r="L212" s="9"/>
      <c r="M212" s="9"/>
      <c r="N212" s="9"/>
      <c r="O212" s="9">
        <f>SUM([1]BASE!$J212:$N212)</f>
        <v>15000</v>
      </c>
      <c r="P212" s="9"/>
      <c r="Q212" s="9">
        <f>[1]BASE!$O212-[1]BASE!$P212</f>
        <v>15000</v>
      </c>
      <c r="R212" s="9" t="s">
        <v>224</v>
      </c>
      <c r="S212" s="9">
        <v>968302481</v>
      </c>
      <c r="T212" s="11" t="s">
        <v>225</v>
      </c>
      <c r="U212" s="9"/>
      <c r="V212" s="9"/>
      <c r="W212" s="9"/>
    </row>
    <row r="213" spans="3:23" x14ac:dyDescent="0.3">
      <c r="C213" s="18" t="s">
        <v>393</v>
      </c>
      <c r="D213" s="13" t="s">
        <v>394</v>
      </c>
      <c r="E213" s="14" t="s">
        <v>371</v>
      </c>
      <c r="F213" s="9"/>
      <c r="G213" s="9"/>
      <c r="H213" s="9"/>
      <c r="I213" s="9"/>
      <c r="J213" s="9">
        <v>15000</v>
      </c>
      <c r="K213" s="9"/>
      <c r="L213" s="9"/>
      <c r="M213" s="9"/>
      <c r="N213" s="9"/>
      <c r="O213" s="9">
        <f>SUM([1]BASE!$J213:$N213)</f>
        <v>15000</v>
      </c>
      <c r="P213" s="9"/>
      <c r="Q213" s="9">
        <f>[1]BASE!$O213-[1]BASE!$P213</f>
        <v>15000</v>
      </c>
      <c r="R213" s="9" t="s">
        <v>224</v>
      </c>
      <c r="S213" s="9">
        <v>961356031</v>
      </c>
      <c r="T213" s="11" t="s">
        <v>225</v>
      </c>
      <c r="U213" s="9"/>
      <c r="V213" s="9"/>
      <c r="W213" s="9"/>
    </row>
    <row r="214" spans="3:23" x14ac:dyDescent="0.3">
      <c r="C214" s="9">
        <v>59156144</v>
      </c>
      <c r="D214" s="13" t="s">
        <v>395</v>
      </c>
      <c r="E214" s="14" t="s">
        <v>396</v>
      </c>
      <c r="F214" s="9"/>
      <c r="G214" s="9"/>
      <c r="H214" s="9"/>
      <c r="I214" s="9"/>
      <c r="J214" s="9">
        <v>15000</v>
      </c>
      <c r="K214" s="9"/>
      <c r="L214" s="9"/>
      <c r="M214" s="9"/>
      <c r="N214" s="9"/>
      <c r="O214" s="9">
        <f>SUM([1]BASE!$J214:$N214)</f>
        <v>15000</v>
      </c>
      <c r="P214" s="9"/>
      <c r="Q214" s="9">
        <f>[1]BASE!$O214-[1]BASE!$P214</f>
        <v>15000</v>
      </c>
      <c r="R214" s="9" t="s">
        <v>224</v>
      </c>
      <c r="S214" s="9">
        <v>990134282</v>
      </c>
      <c r="T214" s="11" t="s">
        <v>225</v>
      </c>
      <c r="U214" s="9"/>
      <c r="V214" s="9"/>
      <c r="W214" s="9"/>
    </row>
    <row r="215" spans="3:23" x14ac:dyDescent="0.3">
      <c r="C215" s="9">
        <v>50404331</v>
      </c>
      <c r="D215" s="13" t="s">
        <v>397</v>
      </c>
      <c r="E215" s="14" t="s">
        <v>381</v>
      </c>
      <c r="F215" s="9"/>
      <c r="G215" s="9"/>
      <c r="H215" s="9"/>
      <c r="I215" s="9"/>
      <c r="J215" s="9">
        <v>15000</v>
      </c>
      <c r="K215" s="9"/>
      <c r="L215" s="9"/>
      <c r="M215" s="9"/>
      <c r="N215" s="9"/>
      <c r="O215" s="9">
        <f>SUM([1]BASE!$J215:$N215)</f>
        <v>15000</v>
      </c>
      <c r="P215" s="9"/>
      <c r="Q215" s="9">
        <f>[1]BASE!$O215-[1]BASE!$P215</f>
        <v>15000</v>
      </c>
      <c r="R215" s="9" t="s">
        <v>224</v>
      </c>
      <c r="S215" s="9">
        <v>998174251</v>
      </c>
      <c r="T215" s="11" t="s">
        <v>225</v>
      </c>
      <c r="U215" s="9"/>
      <c r="V215" s="9"/>
      <c r="W215" s="9"/>
    </row>
    <row r="216" spans="3:23" x14ac:dyDescent="0.3">
      <c r="C216" s="9">
        <v>95800467</v>
      </c>
      <c r="D216" s="13" t="s">
        <v>398</v>
      </c>
      <c r="E216" s="14" t="s">
        <v>383</v>
      </c>
      <c r="F216" s="9"/>
      <c r="G216" s="9"/>
      <c r="H216" s="9"/>
      <c r="I216" s="9"/>
      <c r="J216" s="9">
        <v>15000</v>
      </c>
      <c r="K216" s="9"/>
      <c r="L216" s="9"/>
      <c r="M216" s="9"/>
      <c r="N216" s="9"/>
      <c r="O216" s="9">
        <f>SUM([1]BASE!$J216:$N216)</f>
        <v>15000</v>
      </c>
      <c r="P216" s="9"/>
      <c r="Q216" s="9">
        <f>[1]BASE!$O216-[1]BASE!$P216</f>
        <v>15000</v>
      </c>
      <c r="R216" s="9" t="s">
        <v>224</v>
      </c>
      <c r="S216" s="9">
        <v>964847874</v>
      </c>
      <c r="T216" s="11" t="s">
        <v>225</v>
      </c>
      <c r="U216" s="9"/>
      <c r="V216" s="9"/>
      <c r="W216" s="9"/>
    </row>
    <row r="217" spans="3:23" x14ac:dyDescent="0.3">
      <c r="C217" s="9">
        <v>94772796</v>
      </c>
      <c r="D217" s="13" t="s">
        <v>399</v>
      </c>
      <c r="E217" s="14" t="s">
        <v>391</v>
      </c>
      <c r="F217" s="9"/>
      <c r="G217" s="9"/>
      <c r="H217" s="9"/>
      <c r="I217" s="9"/>
      <c r="J217" s="9">
        <v>15000</v>
      </c>
      <c r="K217" s="9"/>
      <c r="L217" s="9"/>
      <c r="M217" s="9"/>
      <c r="N217" s="9"/>
      <c r="O217" s="9">
        <f>SUM([1]BASE!$J217:$N217)</f>
        <v>15000</v>
      </c>
      <c r="P217" s="9"/>
      <c r="Q217" s="9">
        <f>[1]BASE!$O217-[1]BASE!$P217</f>
        <v>15000</v>
      </c>
      <c r="R217" s="9" t="s">
        <v>224</v>
      </c>
      <c r="S217" s="9">
        <v>993258547</v>
      </c>
      <c r="T217" s="11" t="s">
        <v>225</v>
      </c>
      <c r="U217" s="9"/>
      <c r="V217" s="9"/>
      <c r="W217" s="9"/>
    </row>
    <row r="218" spans="3:23" x14ac:dyDescent="0.3">
      <c r="C218" s="9">
        <v>122330427</v>
      </c>
      <c r="D218" s="13" t="s">
        <v>400</v>
      </c>
      <c r="E218" s="14" t="s">
        <v>376</v>
      </c>
      <c r="F218" s="9"/>
      <c r="G218" s="9"/>
      <c r="H218" s="9"/>
      <c r="I218" s="9"/>
      <c r="J218" s="9">
        <v>15000</v>
      </c>
      <c r="K218" s="9"/>
      <c r="L218" s="9"/>
      <c r="M218" s="9"/>
      <c r="N218" s="9"/>
      <c r="O218" s="9">
        <f>SUM([1]BASE!$J218:$N218)</f>
        <v>15000</v>
      </c>
      <c r="P218" s="9"/>
      <c r="Q218" s="9">
        <f>[1]BASE!$O218-[1]BASE!$P218</f>
        <v>15000</v>
      </c>
      <c r="R218" s="9" t="s">
        <v>224</v>
      </c>
      <c r="S218" s="9">
        <v>941882775</v>
      </c>
      <c r="T218" s="11" t="s">
        <v>225</v>
      </c>
      <c r="U218" s="9"/>
      <c r="V218" s="9"/>
      <c r="W218" s="9"/>
    </row>
    <row r="219" spans="3:23" x14ac:dyDescent="0.3">
      <c r="C219" s="9">
        <v>188628176</v>
      </c>
      <c r="D219" s="13" t="s">
        <v>401</v>
      </c>
      <c r="E219" s="14" t="s">
        <v>386</v>
      </c>
      <c r="F219" s="9"/>
      <c r="G219" s="9"/>
      <c r="H219" s="9"/>
      <c r="I219" s="9"/>
      <c r="J219" s="9">
        <v>15000</v>
      </c>
      <c r="K219" s="9"/>
      <c r="L219" s="9"/>
      <c r="M219" s="9"/>
      <c r="N219" s="9"/>
      <c r="O219" s="9">
        <f>SUM([1]BASE!$J219:$N219)</f>
        <v>15000</v>
      </c>
      <c r="P219" s="9"/>
      <c r="Q219" s="9">
        <f>[1]BASE!$O219-[1]BASE!$P219</f>
        <v>15000</v>
      </c>
      <c r="R219" s="9" t="s">
        <v>224</v>
      </c>
      <c r="S219" s="9">
        <v>64279579054</v>
      </c>
      <c r="T219" s="11"/>
      <c r="U219" s="9" t="s">
        <v>402</v>
      </c>
      <c r="V219" s="9"/>
      <c r="W219" s="9"/>
    </row>
    <row r="220" spans="3:23" x14ac:dyDescent="0.3">
      <c r="C220" s="9">
        <v>73683203</v>
      </c>
      <c r="D220" s="13" t="s">
        <v>403</v>
      </c>
      <c r="E220" s="14" t="s">
        <v>404</v>
      </c>
      <c r="F220" s="9"/>
      <c r="G220" s="9"/>
      <c r="H220" s="9"/>
      <c r="I220" s="9"/>
      <c r="J220" s="9">
        <v>15000</v>
      </c>
      <c r="K220" s="9"/>
      <c r="L220" s="9"/>
      <c r="M220" s="9"/>
      <c r="N220" s="9"/>
      <c r="O220" s="9">
        <f>SUM([1]BASE!$J220:$N220)</f>
        <v>15000</v>
      </c>
      <c r="P220" s="9"/>
      <c r="Q220" s="9">
        <f>[1]BASE!$O220-[1]BASE!$P220</f>
        <v>15000</v>
      </c>
      <c r="R220" s="9" t="s">
        <v>224</v>
      </c>
      <c r="S220" s="9">
        <v>933750764</v>
      </c>
      <c r="T220" s="11" t="s">
        <v>225</v>
      </c>
      <c r="U220" s="9"/>
      <c r="V220" s="9"/>
      <c r="W220" s="9"/>
    </row>
    <row r="221" spans="3:23" x14ac:dyDescent="0.3">
      <c r="C221" s="9">
        <v>78278382</v>
      </c>
      <c r="D221" s="13" t="s">
        <v>405</v>
      </c>
      <c r="E221" s="14" t="s">
        <v>406</v>
      </c>
      <c r="F221" s="9"/>
      <c r="G221" s="9"/>
      <c r="H221" s="9"/>
      <c r="I221" s="9"/>
      <c r="J221" s="9">
        <v>15000</v>
      </c>
      <c r="K221" s="9"/>
      <c r="L221" s="9"/>
      <c r="M221" s="9"/>
      <c r="N221" s="9"/>
      <c r="O221" s="9">
        <f>SUM([1]BASE!$J221:$N221)</f>
        <v>15000</v>
      </c>
      <c r="P221" s="9"/>
      <c r="Q221" s="9">
        <f>[1]BASE!$O221-[1]BASE!$P221</f>
        <v>15000</v>
      </c>
      <c r="R221" s="9" t="s">
        <v>224</v>
      </c>
      <c r="S221" s="9">
        <v>994400672</v>
      </c>
      <c r="T221" s="11" t="s">
        <v>225</v>
      </c>
      <c r="U221" s="9"/>
      <c r="V221" s="9"/>
      <c r="W221" s="9"/>
    </row>
    <row r="222" spans="3:23" x14ac:dyDescent="0.3">
      <c r="C222" s="9">
        <v>181199288</v>
      </c>
      <c r="D222" s="13" t="s">
        <v>407</v>
      </c>
      <c r="E222" s="14" t="s">
        <v>408</v>
      </c>
      <c r="F222" s="9"/>
      <c r="G222" s="9"/>
      <c r="H222" s="9"/>
      <c r="I222" s="9"/>
      <c r="J222" s="9">
        <v>15000</v>
      </c>
      <c r="K222" s="9">
        <v>15000</v>
      </c>
      <c r="L222" s="9"/>
      <c r="M222" s="9"/>
      <c r="N222" s="9"/>
      <c r="O222" s="9">
        <f>SUM([1]BASE!$J222:$N222)</f>
        <v>30000</v>
      </c>
      <c r="P222" s="9"/>
      <c r="Q222" s="9">
        <f>[1]BASE!$O222-[1]BASE!$P222</f>
        <v>30000</v>
      </c>
      <c r="R222" s="9" t="s">
        <v>224</v>
      </c>
      <c r="S222" s="9">
        <v>974869639</v>
      </c>
      <c r="T222" s="11" t="s">
        <v>225</v>
      </c>
      <c r="U222" s="9"/>
      <c r="V222" s="9"/>
      <c r="W222" s="9"/>
    </row>
    <row r="223" spans="3:23" x14ac:dyDescent="0.3">
      <c r="C223" s="18">
        <v>178168096</v>
      </c>
      <c r="D223" s="13" t="s">
        <v>409</v>
      </c>
      <c r="E223" s="14" t="s">
        <v>362</v>
      </c>
      <c r="F223" s="9"/>
      <c r="G223" s="9"/>
      <c r="H223" s="9"/>
      <c r="I223" s="9"/>
      <c r="J223" s="9">
        <v>15000</v>
      </c>
      <c r="K223" s="9"/>
      <c r="L223" s="9"/>
      <c r="M223" s="9"/>
      <c r="N223" s="9"/>
      <c r="O223" s="9">
        <f>SUM([1]BASE!$J223:$N223)</f>
        <v>15000</v>
      </c>
      <c r="P223" s="9"/>
      <c r="Q223" s="9">
        <f>[1]BASE!$O223-[1]BASE!$P223</f>
        <v>15000</v>
      </c>
      <c r="R223" s="9" t="s">
        <v>224</v>
      </c>
      <c r="S223" s="9">
        <v>983818137</v>
      </c>
      <c r="T223" s="11" t="s">
        <v>225</v>
      </c>
      <c r="U223" s="9"/>
      <c r="V223" s="9"/>
      <c r="W223" s="9"/>
    </row>
    <row r="224" spans="3:23" x14ac:dyDescent="0.3">
      <c r="C224" s="18">
        <v>181284382</v>
      </c>
      <c r="D224" s="13" t="s">
        <v>410</v>
      </c>
      <c r="E224" s="14" t="s">
        <v>411</v>
      </c>
      <c r="F224" s="9"/>
      <c r="G224" s="9"/>
      <c r="H224" s="9"/>
      <c r="I224" s="9"/>
      <c r="J224" s="9">
        <v>15000</v>
      </c>
      <c r="K224" s="9"/>
      <c r="L224" s="9"/>
      <c r="M224" s="9"/>
      <c r="N224" s="9"/>
      <c r="O224" s="9">
        <f>SUM([1]BASE!$J224:$N224)</f>
        <v>15000</v>
      </c>
      <c r="P224" s="9"/>
      <c r="Q224" s="9">
        <f>[1]BASE!$O224-[1]BASE!$P224</f>
        <v>15000</v>
      </c>
      <c r="R224" s="9" t="s">
        <v>224</v>
      </c>
      <c r="S224" s="9">
        <v>997497437</v>
      </c>
      <c r="T224" s="11" t="s">
        <v>225</v>
      </c>
      <c r="U224" s="9"/>
      <c r="V224" s="9"/>
      <c r="W224" s="9"/>
    </row>
    <row r="225" spans="3:24" x14ac:dyDescent="0.3">
      <c r="C225" s="18">
        <v>105411243</v>
      </c>
      <c r="D225" s="13" t="s">
        <v>412</v>
      </c>
      <c r="E225" s="14" t="s">
        <v>408</v>
      </c>
      <c r="F225" s="9"/>
      <c r="G225" s="9"/>
      <c r="H225" s="9"/>
      <c r="I225" s="9"/>
      <c r="J225" s="9">
        <v>15000</v>
      </c>
      <c r="K225" s="9"/>
      <c r="L225" s="9"/>
      <c r="M225" s="9"/>
      <c r="N225" s="9"/>
      <c r="O225" s="9">
        <f>SUM([1]BASE!$J225:$N225)</f>
        <v>15000</v>
      </c>
      <c r="P225" s="9"/>
      <c r="Q225" s="9">
        <f>[1]BASE!$O225-[1]BASE!$P225</f>
        <v>15000</v>
      </c>
      <c r="R225" s="9" t="s">
        <v>224</v>
      </c>
      <c r="S225" s="9">
        <v>920920324</v>
      </c>
      <c r="T225" s="11" t="s">
        <v>225</v>
      </c>
      <c r="U225" s="9"/>
      <c r="V225" s="9"/>
      <c r="W225" s="9"/>
    </row>
    <row r="226" spans="3:24" x14ac:dyDescent="0.3">
      <c r="C226" s="18" t="s">
        <v>413</v>
      </c>
      <c r="D226" s="13" t="s">
        <v>414</v>
      </c>
      <c r="E226" s="14" t="s">
        <v>415</v>
      </c>
      <c r="F226" s="9"/>
      <c r="G226" s="9"/>
      <c r="H226" s="9"/>
      <c r="I226" s="9"/>
      <c r="J226" s="9">
        <v>15000</v>
      </c>
      <c r="K226" s="9"/>
      <c r="L226" s="9"/>
      <c r="M226" s="9"/>
      <c r="N226" s="9"/>
      <c r="O226" s="9">
        <f>SUM([1]BASE!$J226:$N226)</f>
        <v>15000</v>
      </c>
      <c r="P226" s="9"/>
      <c r="Q226" s="9">
        <f>[1]BASE!$O226-[1]BASE!$P226</f>
        <v>15000</v>
      </c>
      <c r="R226" s="9" t="s">
        <v>224</v>
      </c>
      <c r="S226" s="9">
        <v>975283951</v>
      </c>
      <c r="T226" s="11" t="s">
        <v>225</v>
      </c>
      <c r="U226" s="9"/>
      <c r="V226" s="9"/>
      <c r="W226" s="9"/>
    </row>
    <row r="227" spans="3:24" x14ac:dyDescent="0.3">
      <c r="C227" s="18">
        <v>134733195</v>
      </c>
      <c r="D227" s="13" t="s">
        <v>416</v>
      </c>
      <c r="E227" s="14" t="s">
        <v>415</v>
      </c>
      <c r="F227" s="9">
        <v>27042026</v>
      </c>
      <c r="G227" s="9"/>
      <c r="H227" s="9"/>
      <c r="I227" s="9"/>
      <c r="J227" s="9">
        <v>15000</v>
      </c>
      <c r="K227" s="9">
        <v>15000</v>
      </c>
      <c r="L227" s="9"/>
      <c r="M227" s="9"/>
      <c r="N227" s="9"/>
      <c r="O227" s="9">
        <f>SUM([1]BASE!$J227:$N227)</f>
        <v>30000</v>
      </c>
      <c r="P227" s="9"/>
      <c r="Q227" s="9">
        <f>[1]BASE!$O227-[1]BASE!$P227</f>
        <v>30000</v>
      </c>
      <c r="R227" s="9" t="s">
        <v>224</v>
      </c>
      <c r="S227" s="9">
        <v>996598019</v>
      </c>
      <c r="T227" s="11" t="s">
        <v>225</v>
      </c>
      <c r="U227" s="9"/>
      <c r="V227" s="9"/>
      <c r="W227" s="9"/>
    </row>
    <row r="228" spans="3:24" x14ac:dyDescent="0.3">
      <c r="C228" s="18">
        <v>170856759</v>
      </c>
      <c r="D228" s="13" t="s">
        <v>417</v>
      </c>
      <c r="E228" s="14" t="s">
        <v>411</v>
      </c>
      <c r="F228" s="9"/>
      <c r="G228" s="9"/>
      <c r="H228" s="9"/>
      <c r="I228" s="9"/>
      <c r="J228" s="9">
        <v>15000</v>
      </c>
      <c r="K228" s="9"/>
      <c r="L228" s="9"/>
      <c r="M228" s="9"/>
      <c r="N228" s="9"/>
      <c r="O228" s="9">
        <f>SUM([1]BASE!$J228:$N228)</f>
        <v>15000</v>
      </c>
      <c r="P228" s="9"/>
      <c r="Q228" s="9">
        <f>[1]BASE!$O228-[1]BASE!$P228</f>
        <v>15000</v>
      </c>
      <c r="R228" s="9" t="s">
        <v>224</v>
      </c>
      <c r="S228" s="9">
        <v>952675579</v>
      </c>
      <c r="T228" s="11" t="s">
        <v>225</v>
      </c>
      <c r="U228" s="9"/>
      <c r="V228" s="9"/>
      <c r="W228" s="9"/>
    </row>
    <row r="229" spans="3:24" x14ac:dyDescent="0.3">
      <c r="C229" s="18">
        <v>57930683</v>
      </c>
      <c r="D229" s="13" t="s">
        <v>418</v>
      </c>
      <c r="E229" s="14" t="s">
        <v>406</v>
      </c>
      <c r="F229" s="9"/>
      <c r="G229" s="9"/>
      <c r="H229" s="9"/>
      <c r="I229" s="9"/>
      <c r="J229" s="9">
        <v>15000</v>
      </c>
      <c r="K229" s="9"/>
      <c r="L229" s="9"/>
      <c r="M229" s="9"/>
      <c r="N229" s="9"/>
      <c r="O229" s="9">
        <f>SUM([1]BASE!$J229:$N229)</f>
        <v>15000</v>
      </c>
      <c r="P229" s="9"/>
      <c r="Q229" s="9">
        <f>[1]BASE!$O229-[1]BASE!$P229</f>
        <v>15000</v>
      </c>
      <c r="R229" s="9" t="s">
        <v>224</v>
      </c>
      <c r="S229" s="9">
        <v>987764381</v>
      </c>
      <c r="T229" s="11" t="s">
        <v>225</v>
      </c>
      <c r="U229" s="9"/>
      <c r="V229" s="9"/>
      <c r="W229" s="9"/>
    </row>
    <row r="230" spans="3:24" x14ac:dyDescent="0.3">
      <c r="C230" s="18">
        <v>167577008</v>
      </c>
      <c r="D230" s="13" t="s">
        <v>419</v>
      </c>
      <c r="E230" s="14" t="s">
        <v>408</v>
      </c>
      <c r="F230" s="9"/>
      <c r="G230" s="9"/>
      <c r="H230" s="9"/>
      <c r="I230" s="9"/>
      <c r="J230" s="9">
        <v>15000</v>
      </c>
      <c r="K230" s="9"/>
      <c r="L230" s="9"/>
      <c r="M230" s="9"/>
      <c r="N230" s="9"/>
      <c r="O230" s="9">
        <f>SUM([1]BASE!$J230:$N230)</f>
        <v>15000</v>
      </c>
      <c r="P230" s="9"/>
      <c r="Q230" s="9">
        <f>[1]BASE!$O230-[1]BASE!$P230</f>
        <v>15000</v>
      </c>
      <c r="R230" s="9" t="s">
        <v>224</v>
      </c>
      <c r="S230" s="9">
        <v>981934527</v>
      </c>
      <c r="T230" s="11" t="s">
        <v>225</v>
      </c>
      <c r="U230" s="9"/>
      <c r="V230" s="9"/>
      <c r="W230" s="9"/>
    </row>
    <row r="231" spans="3:24" x14ac:dyDescent="0.3">
      <c r="C231" s="18">
        <v>176760796</v>
      </c>
      <c r="D231" s="13" t="s">
        <v>420</v>
      </c>
      <c r="E231" s="14" t="s">
        <v>408</v>
      </c>
      <c r="F231" s="9"/>
      <c r="G231" s="9"/>
      <c r="H231" s="9"/>
      <c r="I231" s="9"/>
      <c r="J231" s="9">
        <v>15000</v>
      </c>
      <c r="K231" s="9"/>
      <c r="L231" s="9"/>
      <c r="M231" s="9"/>
      <c r="N231" s="9"/>
      <c r="O231" s="9">
        <f>SUM([1]BASE!$J231:$N231)</f>
        <v>15000</v>
      </c>
      <c r="P231" s="9"/>
      <c r="Q231" s="9">
        <f>[1]BASE!$O231-[1]BASE!$P231</f>
        <v>15000</v>
      </c>
      <c r="R231" s="9" t="s">
        <v>224</v>
      </c>
      <c r="S231" s="9">
        <v>984169726</v>
      </c>
      <c r="T231" s="11" t="s">
        <v>225</v>
      </c>
      <c r="U231" s="9"/>
      <c r="V231" s="9"/>
      <c r="W231" s="9"/>
    </row>
    <row r="232" spans="3:24" x14ac:dyDescent="0.3">
      <c r="C232" s="18">
        <v>68685559</v>
      </c>
      <c r="D232" s="13" t="s">
        <v>421</v>
      </c>
      <c r="E232" s="14" t="s">
        <v>422</v>
      </c>
      <c r="F232" s="9"/>
      <c r="G232" s="9"/>
      <c r="H232" s="9"/>
      <c r="I232" s="9"/>
      <c r="J232" s="9">
        <v>15000</v>
      </c>
      <c r="K232" s="9"/>
      <c r="L232" s="9"/>
      <c r="M232" s="9"/>
      <c r="N232" s="9"/>
      <c r="O232" s="9">
        <f>SUM([1]BASE!$J232:$N232)</f>
        <v>15000</v>
      </c>
      <c r="P232" s="9"/>
      <c r="Q232" s="9">
        <f>[1]BASE!$O232-[1]BASE!$P232</f>
        <v>15000</v>
      </c>
      <c r="R232" s="9" t="s">
        <v>224</v>
      </c>
      <c r="S232" s="9">
        <v>974289002</v>
      </c>
      <c r="T232" s="11" t="s">
        <v>225</v>
      </c>
      <c r="U232" s="9"/>
      <c r="V232" s="9"/>
      <c r="W232" s="9"/>
    </row>
    <row r="233" spans="3:24" x14ac:dyDescent="0.3">
      <c r="C233" s="18">
        <v>73151686</v>
      </c>
      <c r="D233" s="13" t="s">
        <v>423</v>
      </c>
      <c r="E233" s="14" t="s">
        <v>422</v>
      </c>
      <c r="F233" s="9"/>
      <c r="G233" s="9"/>
      <c r="H233" s="9"/>
      <c r="I233" s="9"/>
      <c r="J233" s="9">
        <v>15000</v>
      </c>
      <c r="K233" s="9"/>
      <c r="L233" s="9"/>
      <c r="M233" s="9"/>
      <c r="N233" s="9"/>
      <c r="O233" s="9">
        <f>SUM([1]BASE!$J233:$N233)</f>
        <v>15000</v>
      </c>
      <c r="P233" s="9"/>
      <c r="Q233" s="9">
        <f>[1]BASE!$O233-[1]BASE!$P233</f>
        <v>15000</v>
      </c>
      <c r="R233" s="9" t="s">
        <v>224</v>
      </c>
      <c r="S233" s="9">
        <v>994337678</v>
      </c>
      <c r="T233" s="11" t="s">
        <v>225</v>
      </c>
      <c r="U233" s="9"/>
      <c r="V233" s="9"/>
      <c r="W233" s="9"/>
    </row>
    <row r="234" spans="3:24" x14ac:dyDescent="0.3">
      <c r="C234" s="18" t="s">
        <v>424</v>
      </c>
      <c r="D234" s="13" t="s">
        <v>425</v>
      </c>
      <c r="E234" s="14" t="s">
        <v>422</v>
      </c>
      <c r="F234" s="9"/>
      <c r="G234" s="9"/>
      <c r="H234" s="9"/>
      <c r="I234" s="9"/>
      <c r="J234" s="9">
        <v>15000</v>
      </c>
      <c r="K234" s="9"/>
      <c r="L234" s="9"/>
      <c r="M234" s="9"/>
      <c r="N234" s="9"/>
      <c r="O234" s="9">
        <f>SUM([1]BASE!$J234:$N234)</f>
        <v>15000</v>
      </c>
      <c r="P234" s="9"/>
      <c r="Q234" s="9">
        <f>[1]BASE!$O234-[1]BASE!$P234</f>
        <v>15000</v>
      </c>
      <c r="R234" s="9" t="s">
        <v>224</v>
      </c>
      <c r="S234" s="9">
        <v>950075551</v>
      </c>
      <c r="T234" s="11" t="s">
        <v>225</v>
      </c>
      <c r="U234" s="9"/>
      <c r="V234" s="9"/>
      <c r="W234" s="9"/>
    </row>
    <row r="235" spans="3:24" x14ac:dyDescent="0.3">
      <c r="C235" s="18">
        <v>83704926</v>
      </c>
      <c r="D235" s="13" t="s">
        <v>426</v>
      </c>
      <c r="E235" s="14" t="s">
        <v>427</v>
      </c>
      <c r="F235" s="9"/>
      <c r="G235" s="9"/>
      <c r="H235" s="9"/>
      <c r="I235" s="9"/>
      <c r="J235" s="9">
        <v>15000</v>
      </c>
      <c r="K235" s="9"/>
      <c r="L235" s="9"/>
      <c r="M235" s="9"/>
      <c r="N235" s="9"/>
      <c r="O235" s="9">
        <f>SUM([1]BASE!$J235:$N235)</f>
        <v>15000</v>
      </c>
      <c r="P235" s="9"/>
      <c r="Q235" s="9">
        <f>[1]BASE!$O235-[1]BASE!$P235</f>
        <v>15000</v>
      </c>
      <c r="R235" s="9" t="s">
        <v>224</v>
      </c>
      <c r="S235" s="9">
        <v>956370161</v>
      </c>
      <c r="T235" s="11" t="s">
        <v>225</v>
      </c>
      <c r="U235" s="9"/>
      <c r="V235" s="9"/>
      <c r="W235" s="9"/>
    </row>
    <row r="236" spans="3:24" x14ac:dyDescent="0.3">
      <c r="C236" s="18">
        <v>68609658</v>
      </c>
      <c r="D236" s="13" t="s">
        <v>428</v>
      </c>
      <c r="E236" s="14" t="s">
        <v>427</v>
      </c>
      <c r="F236" s="9"/>
      <c r="G236" s="9"/>
      <c r="H236" s="9"/>
      <c r="I236" s="9"/>
      <c r="J236" s="9">
        <v>15000</v>
      </c>
      <c r="K236" s="9"/>
      <c r="L236" s="9"/>
      <c r="M236" s="9"/>
      <c r="N236" s="9"/>
      <c r="O236" s="9">
        <f>SUM([1]BASE!$J236:$N236)</f>
        <v>15000</v>
      </c>
      <c r="P236" s="9"/>
      <c r="Q236" s="9">
        <f>[1]BASE!$O236-[1]BASE!$P236</f>
        <v>15000</v>
      </c>
      <c r="R236" s="9" t="s">
        <v>224</v>
      </c>
      <c r="S236" s="9">
        <v>998268369</v>
      </c>
      <c r="T236" s="11" t="s">
        <v>225</v>
      </c>
      <c r="U236" s="9"/>
      <c r="V236" s="9"/>
      <c r="W236" s="9"/>
    </row>
    <row r="237" spans="3:24" x14ac:dyDescent="0.3">
      <c r="C237" s="18">
        <v>64779230</v>
      </c>
      <c r="D237" s="13" t="s">
        <v>429</v>
      </c>
      <c r="E237" s="14" t="s">
        <v>430</v>
      </c>
      <c r="F237" s="9"/>
      <c r="G237" s="9"/>
      <c r="H237" s="9"/>
      <c r="I237" s="9"/>
      <c r="J237" s="9">
        <v>15000</v>
      </c>
      <c r="K237" s="9"/>
      <c r="L237" s="9"/>
      <c r="M237" s="9"/>
      <c r="N237" s="9"/>
      <c r="O237" s="9">
        <f>SUM([1]BASE!$J237:$N237)</f>
        <v>15000</v>
      </c>
      <c r="P237" s="9"/>
      <c r="Q237" s="9">
        <f>[1]BASE!$O237-[1]BASE!$P237</f>
        <v>15000</v>
      </c>
      <c r="R237" s="9" t="s">
        <v>224</v>
      </c>
      <c r="S237" s="9">
        <v>976634896</v>
      </c>
      <c r="T237" s="11" t="s">
        <v>225</v>
      </c>
      <c r="U237" s="9"/>
      <c r="V237" s="9"/>
      <c r="W237" s="9"/>
    </row>
    <row r="238" spans="3:24" x14ac:dyDescent="0.3">
      <c r="C238" s="18">
        <v>162309641</v>
      </c>
      <c r="D238" s="13" t="s">
        <v>431</v>
      </c>
      <c r="E238" s="14" t="s">
        <v>432</v>
      </c>
      <c r="F238" s="9">
        <v>4052026</v>
      </c>
      <c r="G238" s="9"/>
      <c r="H238" s="9"/>
      <c r="I238" s="9"/>
      <c r="J238" s="9">
        <v>15000</v>
      </c>
      <c r="K238" s="9">
        <v>15000</v>
      </c>
      <c r="L238" s="9"/>
      <c r="M238" s="9"/>
      <c r="N238" s="9"/>
      <c r="O238" s="9">
        <f>SUM([1]BASE!$J238:$N238)</f>
        <v>30000</v>
      </c>
      <c r="P238" s="9"/>
      <c r="Q238" s="9">
        <f>[1]BASE!$O238-[1]BASE!$P238</f>
        <v>30000</v>
      </c>
      <c r="R238" s="9" t="s">
        <v>224</v>
      </c>
      <c r="S238" s="9">
        <v>983953741</v>
      </c>
      <c r="T238" s="11" t="s">
        <v>225</v>
      </c>
      <c r="U238" s="9"/>
      <c r="V238" s="9"/>
      <c r="W238" s="9"/>
    </row>
    <row r="239" spans="3:24" x14ac:dyDescent="0.3">
      <c r="C239" s="18">
        <v>258463862</v>
      </c>
      <c r="D239" s="9" t="s">
        <v>433</v>
      </c>
      <c r="E239" s="14" t="s">
        <v>434</v>
      </c>
      <c r="F239" s="9"/>
      <c r="G239" s="9"/>
      <c r="H239" s="9"/>
      <c r="I239" s="9"/>
      <c r="J239" s="9">
        <v>15000</v>
      </c>
      <c r="K239" s="9"/>
      <c r="L239" s="9"/>
      <c r="M239" s="9"/>
      <c r="N239" s="9"/>
      <c r="O239" s="9">
        <f>SUM([1]BASE!$J239:$N239)</f>
        <v>15000</v>
      </c>
      <c r="P239" s="9"/>
      <c r="Q239" s="9">
        <f>[1]BASE!$O239-[1]BASE!$P239</f>
        <v>15000</v>
      </c>
      <c r="R239" s="9" t="s">
        <v>224</v>
      </c>
      <c r="S239" s="9">
        <v>959071995</v>
      </c>
      <c r="T239" s="11" t="s">
        <v>225</v>
      </c>
      <c r="U239" s="9"/>
      <c r="V239" s="9"/>
      <c r="W239" s="9"/>
    </row>
    <row r="240" spans="3:24" x14ac:dyDescent="0.3">
      <c r="C240" s="18">
        <v>153387354</v>
      </c>
      <c r="D240" s="13" t="s">
        <v>435</v>
      </c>
      <c r="E240" s="14" t="s">
        <v>436</v>
      </c>
      <c r="F240" s="9"/>
      <c r="G240" s="9"/>
      <c r="H240" s="9"/>
      <c r="I240" s="9"/>
      <c r="J240" s="9">
        <v>15000</v>
      </c>
      <c r="K240" s="9"/>
      <c r="L240" s="9"/>
      <c r="M240" s="9"/>
      <c r="N240" s="9"/>
      <c r="O240" s="9">
        <f>SUM([1]BASE!$J240:$N240)</f>
        <v>15000</v>
      </c>
      <c r="P240" s="9"/>
      <c r="Q240" s="9">
        <f>[1]BASE!$O240-[1]BASE!$P240</f>
        <v>15000</v>
      </c>
      <c r="R240" s="9" t="s">
        <v>224</v>
      </c>
      <c r="S240" s="9">
        <v>932796953</v>
      </c>
      <c r="T240" s="11" t="s">
        <v>225</v>
      </c>
      <c r="U240" s="9"/>
      <c r="V240" s="9"/>
      <c r="W240" s="9"/>
      <c r="X240" s="6"/>
    </row>
    <row r="241" spans="3:24" x14ac:dyDescent="0.3">
      <c r="C241" s="18">
        <v>57450258</v>
      </c>
      <c r="D241" s="10" t="s">
        <v>437</v>
      </c>
      <c r="E241" s="14" t="s">
        <v>438</v>
      </c>
      <c r="F241" s="9"/>
      <c r="G241" s="9"/>
      <c r="H241" s="9"/>
      <c r="I241" s="9"/>
      <c r="J241" s="9">
        <v>15000</v>
      </c>
      <c r="K241" s="9"/>
      <c r="L241" s="9"/>
      <c r="M241" s="9"/>
      <c r="N241" s="9"/>
      <c r="O241" s="9">
        <f>SUM([1]BASE!$J241:$N241)</f>
        <v>15000</v>
      </c>
      <c r="P241" s="9"/>
      <c r="Q241" s="9">
        <f>[1]BASE!$O241-[1]BASE!$P241</f>
        <v>15000</v>
      </c>
      <c r="R241" s="9" t="s">
        <v>224</v>
      </c>
      <c r="S241" s="9">
        <v>988688723</v>
      </c>
      <c r="T241" s="11" t="s">
        <v>225</v>
      </c>
      <c r="U241" s="9"/>
      <c r="V241" s="9"/>
      <c r="W241" s="9"/>
      <c r="X241" s="6"/>
    </row>
    <row r="242" spans="3:24" x14ac:dyDescent="0.3">
      <c r="C242" s="18">
        <v>60682070</v>
      </c>
      <c r="D242" s="13" t="s">
        <v>439</v>
      </c>
      <c r="E242" s="14" t="s">
        <v>440</v>
      </c>
      <c r="F242" s="9"/>
      <c r="G242" s="9"/>
      <c r="H242" s="9"/>
      <c r="I242" s="9"/>
      <c r="J242" s="9">
        <v>15000</v>
      </c>
      <c r="K242" s="9"/>
      <c r="L242" s="9"/>
      <c r="M242" s="9"/>
      <c r="N242" s="9"/>
      <c r="O242" s="9">
        <f>SUM([1]BASE!$J242:$N242)</f>
        <v>15000</v>
      </c>
      <c r="P242" s="9"/>
      <c r="Q242" s="9">
        <f>[1]BASE!$O242-[1]BASE!$P242</f>
        <v>15000</v>
      </c>
      <c r="R242" s="9" t="s">
        <v>224</v>
      </c>
      <c r="S242" s="9">
        <v>966782083</v>
      </c>
      <c r="T242" s="11" t="s">
        <v>225</v>
      </c>
      <c r="U242" s="9"/>
      <c r="V242" s="9"/>
      <c r="W242" s="9"/>
      <c r="X242" s="6"/>
    </row>
    <row r="243" spans="3:24" x14ac:dyDescent="0.3">
      <c r="C243" s="18">
        <v>778110237</v>
      </c>
      <c r="D243" s="9" t="s">
        <v>441</v>
      </c>
      <c r="E243" s="14" t="s">
        <v>432</v>
      </c>
      <c r="F243" s="9"/>
      <c r="G243" s="9"/>
      <c r="H243" s="9"/>
      <c r="I243" s="9"/>
      <c r="J243" s="9">
        <v>15000</v>
      </c>
      <c r="K243" s="9"/>
      <c r="L243" s="9"/>
      <c r="M243" s="9"/>
      <c r="N243" s="9"/>
      <c r="O243" s="9">
        <f>SUM([1]BASE!$J243:$N243)</f>
        <v>15000</v>
      </c>
      <c r="P243" s="9"/>
      <c r="Q243" s="9">
        <f>[1]BASE!$O243-[1]BASE!$P243</f>
        <v>15000</v>
      </c>
      <c r="R243" s="9" t="s">
        <v>224</v>
      </c>
      <c r="S243" s="9">
        <v>964068909</v>
      </c>
      <c r="T243" s="11" t="s">
        <v>225</v>
      </c>
      <c r="U243" s="9"/>
      <c r="V243" s="9"/>
      <c r="W243" s="9"/>
      <c r="X243" s="6"/>
    </row>
    <row r="244" spans="3:24" x14ac:dyDescent="0.3">
      <c r="C244" s="18">
        <v>70605708</v>
      </c>
      <c r="D244" s="13" t="s">
        <v>442</v>
      </c>
      <c r="E244" s="14" t="s">
        <v>432</v>
      </c>
      <c r="F244" s="9"/>
      <c r="G244" s="9"/>
      <c r="H244" s="9"/>
      <c r="I244" s="9"/>
      <c r="J244" s="9">
        <v>15000</v>
      </c>
      <c r="K244" s="9"/>
      <c r="L244" s="9"/>
      <c r="M244" s="9"/>
      <c r="N244" s="9"/>
      <c r="O244" s="9">
        <f>SUM([1]BASE!$J244:$N244)</f>
        <v>15000</v>
      </c>
      <c r="P244" s="9"/>
      <c r="Q244" s="9">
        <f>[1]BASE!$O244-[1]BASE!$P244</f>
        <v>15000</v>
      </c>
      <c r="R244" s="9" t="s">
        <v>224</v>
      </c>
      <c r="S244" s="9">
        <v>958636202</v>
      </c>
      <c r="T244" s="11" t="s">
        <v>225</v>
      </c>
      <c r="U244" s="9"/>
      <c r="V244" s="9"/>
      <c r="W244" s="9"/>
      <c r="X244" s="6"/>
    </row>
    <row r="245" spans="3:24" x14ac:dyDescent="0.3">
      <c r="C245" s="18">
        <v>134826541</v>
      </c>
      <c r="D245" s="9" t="s">
        <v>443</v>
      </c>
      <c r="E245" s="14" t="s">
        <v>434</v>
      </c>
      <c r="F245" s="9"/>
      <c r="G245" s="9"/>
      <c r="H245" s="9"/>
      <c r="I245" s="9"/>
      <c r="J245" s="9">
        <v>15000</v>
      </c>
      <c r="K245" s="9"/>
      <c r="L245" s="9"/>
      <c r="M245" s="9"/>
      <c r="N245" s="9"/>
      <c r="O245" s="9">
        <f>SUM([1]BASE!$J245:$N245)</f>
        <v>15000</v>
      </c>
      <c r="P245" s="9"/>
      <c r="Q245" s="9">
        <f>[1]BASE!$O245-[1]BASE!$P245</f>
        <v>15000</v>
      </c>
      <c r="R245" s="9" t="s">
        <v>224</v>
      </c>
      <c r="S245" s="9">
        <v>994497360</v>
      </c>
      <c r="T245" s="11" t="s">
        <v>225</v>
      </c>
      <c r="U245" s="9"/>
      <c r="V245" s="9"/>
      <c r="W245" s="9"/>
      <c r="X245" s="6"/>
    </row>
    <row r="246" spans="3:24" x14ac:dyDescent="0.3">
      <c r="C246" s="18">
        <v>140581232</v>
      </c>
      <c r="D246" s="13" t="s">
        <v>181</v>
      </c>
      <c r="E246" s="14" t="s">
        <v>436</v>
      </c>
      <c r="F246" s="9"/>
      <c r="G246" s="9"/>
      <c r="H246" s="9"/>
      <c r="I246" s="9"/>
      <c r="J246" s="9">
        <v>15000</v>
      </c>
      <c r="K246" s="9"/>
      <c r="L246" s="9"/>
      <c r="M246" s="9"/>
      <c r="N246" s="9"/>
      <c r="O246" s="9">
        <f>SUM([1]BASE!$J246:$N246)</f>
        <v>15000</v>
      </c>
      <c r="P246" s="9"/>
      <c r="Q246" s="9">
        <f>[1]BASE!$O246-[1]BASE!$P246</f>
        <v>15000</v>
      </c>
      <c r="R246" s="9" t="s">
        <v>224</v>
      </c>
      <c r="S246" s="9">
        <v>945212626</v>
      </c>
      <c r="T246" s="11" t="s">
        <v>225</v>
      </c>
      <c r="U246" s="9"/>
      <c r="V246" s="9"/>
      <c r="W246" s="9"/>
      <c r="X246" s="6"/>
    </row>
    <row r="247" spans="3:24" x14ac:dyDescent="0.3">
      <c r="C247" s="18">
        <v>60864063</v>
      </c>
      <c r="D247" s="9" t="s">
        <v>444</v>
      </c>
      <c r="E247" s="14" t="s">
        <v>445</v>
      </c>
      <c r="F247" s="9"/>
      <c r="G247" s="9"/>
      <c r="H247" s="9"/>
      <c r="I247" s="9"/>
      <c r="J247" s="9">
        <v>15000</v>
      </c>
      <c r="K247" s="9"/>
      <c r="L247" s="9"/>
      <c r="M247" s="9"/>
      <c r="N247" s="9"/>
      <c r="O247" s="9">
        <f>SUM([1]BASE!$J247:$N247)</f>
        <v>15000</v>
      </c>
      <c r="P247" s="9"/>
      <c r="Q247" s="9">
        <f>[1]BASE!$O247-[1]BASE!$P247</f>
        <v>15000</v>
      </c>
      <c r="R247" s="9" t="s">
        <v>224</v>
      </c>
      <c r="S247" s="9">
        <v>972054557</v>
      </c>
      <c r="T247" s="11" t="s">
        <v>225</v>
      </c>
      <c r="U247" s="9"/>
      <c r="V247" s="9"/>
      <c r="W247" s="9"/>
      <c r="X247" s="6"/>
    </row>
    <row r="248" spans="3:24" x14ac:dyDescent="0.3">
      <c r="C248" s="18">
        <v>187316952</v>
      </c>
      <c r="D248" s="13" t="s">
        <v>446</v>
      </c>
      <c r="E248" s="14" t="s">
        <v>445</v>
      </c>
      <c r="F248" s="9"/>
      <c r="G248" s="9"/>
      <c r="H248" s="9"/>
      <c r="I248" s="9"/>
      <c r="J248" s="9">
        <v>15000</v>
      </c>
      <c r="K248" s="9"/>
      <c r="L248" s="9"/>
      <c r="M248" s="9"/>
      <c r="N248" s="9"/>
      <c r="O248" s="9">
        <f>SUM([1]BASE!$J248:$N248)</f>
        <v>15000</v>
      </c>
      <c r="P248" s="9"/>
      <c r="Q248" s="9">
        <f>[1]BASE!$O248-[1]BASE!$P248</f>
        <v>15000</v>
      </c>
      <c r="R248" s="9" t="s">
        <v>224</v>
      </c>
      <c r="S248" s="9">
        <v>958737990</v>
      </c>
      <c r="T248" s="11" t="s">
        <v>225</v>
      </c>
      <c r="U248" s="9"/>
      <c r="V248" s="9"/>
      <c r="W248" s="9"/>
      <c r="X248" s="6"/>
    </row>
    <row r="249" spans="3:24" x14ac:dyDescent="0.3">
      <c r="C249" s="18">
        <v>62197935</v>
      </c>
      <c r="D249" s="9" t="s">
        <v>447</v>
      </c>
      <c r="E249" s="14" t="s">
        <v>448</v>
      </c>
      <c r="F249" s="9"/>
      <c r="G249" s="9"/>
      <c r="H249" s="9"/>
      <c r="I249" s="9"/>
      <c r="J249" s="9">
        <v>15000</v>
      </c>
      <c r="K249" s="9"/>
      <c r="L249" s="9"/>
      <c r="M249" s="9"/>
      <c r="N249" s="9"/>
      <c r="O249" s="9">
        <f>SUM([1]BASE!$J249:$N249)</f>
        <v>15000</v>
      </c>
      <c r="P249" s="9"/>
      <c r="Q249" s="9">
        <f>[1]BASE!$O249-[1]BASE!$P249</f>
        <v>15000</v>
      </c>
      <c r="R249" s="9" t="s">
        <v>224</v>
      </c>
      <c r="S249" s="9">
        <v>999860454</v>
      </c>
      <c r="T249" s="11" t="s">
        <v>225</v>
      </c>
      <c r="U249" s="9"/>
      <c r="V249" s="9"/>
      <c r="W249" s="9"/>
      <c r="X249" s="6"/>
    </row>
    <row r="250" spans="3:24" x14ac:dyDescent="0.3">
      <c r="C250" s="18">
        <v>250131224</v>
      </c>
      <c r="D250" s="13" t="s">
        <v>449</v>
      </c>
      <c r="E250" s="14" t="s">
        <v>448</v>
      </c>
      <c r="F250" s="9"/>
      <c r="G250" s="9"/>
      <c r="H250" s="9"/>
      <c r="I250" s="9"/>
      <c r="J250" s="9">
        <v>15000</v>
      </c>
      <c r="K250" s="9"/>
      <c r="L250" s="9"/>
      <c r="M250" s="9"/>
      <c r="N250" s="9"/>
      <c r="O250" s="9">
        <f>SUM([1]BASE!$J250:$N250)</f>
        <v>15000</v>
      </c>
      <c r="P250" s="9"/>
      <c r="Q250" s="9">
        <f>[1]BASE!$O250-[1]BASE!$P250</f>
        <v>15000</v>
      </c>
      <c r="R250" s="9" t="s">
        <v>224</v>
      </c>
      <c r="S250" s="9">
        <v>962325582</v>
      </c>
      <c r="T250" s="11" t="s">
        <v>225</v>
      </c>
      <c r="U250" s="9"/>
      <c r="V250" s="9"/>
      <c r="W250" s="9"/>
      <c r="X250" s="6"/>
    </row>
    <row r="251" spans="3:24" x14ac:dyDescent="0.3">
      <c r="C251" s="18">
        <v>70355108</v>
      </c>
      <c r="D251" s="9" t="s">
        <v>450</v>
      </c>
      <c r="E251" s="14" t="s">
        <v>451</v>
      </c>
      <c r="F251" s="9"/>
      <c r="G251" s="9"/>
      <c r="H251" s="9"/>
      <c r="I251" s="9"/>
      <c r="J251" s="9">
        <v>15000</v>
      </c>
      <c r="K251" s="9"/>
      <c r="L251" s="9"/>
      <c r="M251" s="9"/>
      <c r="N251" s="9"/>
      <c r="O251" s="9">
        <f>SUM([1]BASE!$J251:$N251)</f>
        <v>15000</v>
      </c>
      <c r="P251" s="9"/>
      <c r="Q251" s="9">
        <f>[1]BASE!$O251-[1]BASE!$P251</f>
        <v>15000</v>
      </c>
      <c r="R251" s="9" t="s">
        <v>224</v>
      </c>
      <c r="S251" s="9">
        <v>56994332010</v>
      </c>
      <c r="T251" s="11"/>
      <c r="U251" s="9"/>
      <c r="V251" s="9"/>
      <c r="W251" s="9"/>
      <c r="X251" s="6"/>
    </row>
    <row r="252" spans="3:24" x14ac:dyDescent="0.3">
      <c r="C252" s="18">
        <v>191473450</v>
      </c>
      <c r="D252" s="13" t="s">
        <v>452</v>
      </c>
      <c r="E252" s="14" t="s">
        <v>453</v>
      </c>
      <c r="F252" s="9"/>
      <c r="G252" s="9"/>
      <c r="H252" s="9"/>
      <c r="I252" s="9"/>
      <c r="J252" s="9">
        <v>15000</v>
      </c>
      <c r="K252" s="9"/>
      <c r="L252" s="9"/>
      <c r="M252" s="9"/>
      <c r="N252" s="9"/>
      <c r="O252" s="9">
        <f>SUM([1]BASE!$J252:$N252)</f>
        <v>15000</v>
      </c>
      <c r="P252" s="9"/>
      <c r="Q252" s="9">
        <f>[1]BASE!$O252-[1]BASE!$P252</f>
        <v>15000</v>
      </c>
      <c r="R252" s="9" t="s">
        <v>224</v>
      </c>
      <c r="S252" s="9">
        <v>56936247043</v>
      </c>
      <c r="T252" s="11"/>
      <c r="U252" s="9"/>
      <c r="V252" s="9"/>
      <c r="W252" s="9"/>
      <c r="X252" s="6"/>
    </row>
    <row r="253" spans="3:24" x14ac:dyDescent="0.3">
      <c r="C253" s="18">
        <v>97071209</v>
      </c>
      <c r="D253" s="9" t="s">
        <v>454</v>
      </c>
      <c r="E253" s="14" t="s">
        <v>455</v>
      </c>
      <c r="F253" s="9"/>
      <c r="G253" s="9"/>
      <c r="H253" s="9"/>
      <c r="I253" s="9"/>
      <c r="J253" s="9">
        <v>15000</v>
      </c>
      <c r="K253" s="9"/>
      <c r="L253" s="9"/>
      <c r="M253" s="9"/>
      <c r="N253" s="9"/>
      <c r="O253" s="9">
        <f>SUM([1]BASE!$J253:$N253)</f>
        <v>15000</v>
      </c>
      <c r="P253" s="9"/>
      <c r="Q253" s="9">
        <f>[1]BASE!$O253-[1]BASE!$P253</f>
        <v>15000</v>
      </c>
      <c r="R253" s="9" t="s">
        <v>224</v>
      </c>
      <c r="S253" s="9">
        <v>56988075084</v>
      </c>
      <c r="T253" s="11"/>
      <c r="U253" s="9"/>
      <c r="V253" s="9"/>
      <c r="W253" s="9"/>
      <c r="X253" s="6"/>
    </row>
    <row r="254" spans="3:24" x14ac:dyDescent="0.3">
      <c r="C254" s="18">
        <v>162309641</v>
      </c>
      <c r="D254" s="13" t="s">
        <v>431</v>
      </c>
      <c r="E254" s="14" t="s">
        <v>432</v>
      </c>
      <c r="F254" s="9"/>
      <c r="G254" s="9"/>
      <c r="H254" s="9"/>
      <c r="I254" s="9"/>
      <c r="J254" s="9">
        <v>15000</v>
      </c>
      <c r="K254" s="9">
        <v>15000</v>
      </c>
      <c r="L254" s="9"/>
      <c r="M254" s="9"/>
      <c r="N254" s="9"/>
      <c r="O254" s="9">
        <f>SUM([1]BASE!$J254:$N254)</f>
        <v>30000</v>
      </c>
      <c r="P254" s="9"/>
      <c r="Q254" s="9">
        <f>[1]BASE!$O254-[1]BASE!$P254</f>
        <v>30000</v>
      </c>
      <c r="R254" s="9" t="s">
        <v>224</v>
      </c>
      <c r="S254" s="9">
        <v>56983953741</v>
      </c>
      <c r="T254" s="11"/>
      <c r="U254" s="9"/>
      <c r="V254" s="9"/>
      <c r="W254" s="9"/>
      <c r="X254" s="6"/>
    </row>
    <row r="255" spans="3:24" x14ac:dyDescent="0.3">
      <c r="C255" s="18">
        <v>258463862</v>
      </c>
      <c r="D255" s="9" t="s">
        <v>433</v>
      </c>
      <c r="E255" s="14" t="s">
        <v>434</v>
      </c>
      <c r="F255" s="9"/>
      <c r="G255" s="9"/>
      <c r="H255" s="9"/>
      <c r="I255" s="9"/>
      <c r="J255" s="9">
        <v>15000</v>
      </c>
      <c r="K255" s="9"/>
      <c r="L255" s="9"/>
      <c r="M255" s="9"/>
      <c r="N255" s="9"/>
      <c r="O255" s="9">
        <f>SUM([1]BASE!$J255:$N255)</f>
        <v>15000</v>
      </c>
      <c r="P255" s="9"/>
      <c r="Q255" s="9">
        <f>[1]BASE!$O255-[1]BASE!$P255</f>
        <v>15000</v>
      </c>
      <c r="R255" s="9" t="s">
        <v>224</v>
      </c>
      <c r="S255" s="9">
        <v>56959071995</v>
      </c>
      <c r="T255" s="11"/>
      <c r="U255" s="9"/>
      <c r="V255" s="9"/>
      <c r="W255" s="9"/>
      <c r="X255" s="6"/>
    </row>
    <row r="256" spans="3:24" x14ac:dyDescent="0.3">
      <c r="C256" s="18">
        <v>153387354</v>
      </c>
      <c r="D256" s="13" t="s">
        <v>435</v>
      </c>
      <c r="E256" s="14" t="s">
        <v>436</v>
      </c>
      <c r="F256" s="9"/>
      <c r="G256" s="9"/>
      <c r="H256" s="9"/>
      <c r="I256" s="9"/>
      <c r="J256" s="9">
        <v>15000</v>
      </c>
      <c r="K256" s="9"/>
      <c r="L256" s="9"/>
      <c r="M256" s="9"/>
      <c r="N256" s="9"/>
      <c r="O256" s="9">
        <f>SUM([1]BASE!$J256:$N256)</f>
        <v>15000</v>
      </c>
      <c r="P256" s="9"/>
      <c r="Q256" s="9">
        <f>[1]BASE!$O256-[1]BASE!$P256</f>
        <v>15000</v>
      </c>
      <c r="R256" s="9" t="s">
        <v>224</v>
      </c>
      <c r="S256" s="9">
        <v>56932796953</v>
      </c>
      <c r="T256" s="11"/>
      <c r="U256" s="9"/>
      <c r="V256" s="9"/>
      <c r="W256" s="9"/>
      <c r="X256" s="6"/>
    </row>
    <row r="257" spans="3:24" x14ac:dyDescent="0.3">
      <c r="C257" s="18" t="s">
        <v>369</v>
      </c>
      <c r="D257" s="9" t="s">
        <v>370</v>
      </c>
      <c r="E257" s="14" t="s">
        <v>456</v>
      </c>
      <c r="F257" s="9"/>
      <c r="G257" s="9"/>
      <c r="H257" s="9"/>
      <c r="I257" s="9"/>
      <c r="J257" s="9">
        <v>15000</v>
      </c>
      <c r="K257" s="9">
        <v>15000</v>
      </c>
      <c r="L257" s="9"/>
      <c r="M257" s="9"/>
      <c r="N257" s="9"/>
      <c r="O257" s="9">
        <f>SUM([1]BASE!$J257:$N257)</f>
        <v>30000</v>
      </c>
      <c r="P257" s="9"/>
      <c r="Q257" s="9">
        <f>[1]BASE!$O257-[1]BASE!$P257</f>
        <v>30000</v>
      </c>
      <c r="R257" s="9" t="s">
        <v>224</v>
      </c>
      <c r="S257" s="9">
        <v>56963143551</v>
      </c>
      <c r="T257" s="11"/>
      <c r="U257" s="9"/>
      <c r="V257" s="9"/>
      <c r="W257" s="9"/>
      <c r="X257" s="6"/>
    </row>
    <row r="258" spans="3:24" x14ac:dyDescent="0.3">
      <c r="C258" s="18">
        <v>82264744</v>
      </c>
      <c r="D258" s="13" t="s">
        <v>457</v>
      </c>
      <c r="E258" s="14" t="s">
        <v>458</v>
      </c>
      <c r="F258" s="9"/>
      <c r="G258" s="9"/>
      <c r="H258" s="9"/>
      <c r="I258" s="9"/>
      <c r="J258" s="9">
        <v>15000</v>
      </c>
      <c r="K258" s="9"/>
      <c r="L258" s="9"/>
      <c r="M258" s="9"/>
      <c r="N258" s="9"/>
      <c r="O258" s="9">
        <f>SUM([1]BASE!$J258:$N258)</f>
        <v>15000</v>
      </c>
      <c r="P258" s="9"/>
      <c r="Q258" s="9">
        <f>[1]BASE!$O258-[1]BASE!$P258</f>
        <v>15000</v>
      </c>
      <c r="R258" s="9" t="s">
        <v>224</v>
      </c>
      <c r="S258" s="9">
        <v>56966285985</v>
      </c>
      <c r="T258" s="11"/>
      <c r="U258" s="9"/>
      <c r="V258" s="9"/>
      <c r="W258" s="9"/>
      <c r="X258" s="6"/>
    </row>
    <row r="259" spans="3:24" x14ac:dyDescent="0.3">
      <c r="C259" s="18">
        <v>178168096</v>
      </c>
      <c r="D259" s="9" t="s">
        <v>409</v>
      </c>
      <c r="E259" s="14" t="s">
        <v>362</v>
      </c>
      <c r="F259" s="9"/>
      <c r="G259" s="9"/>
      <c r="H259" s="9"/>
      <c r="I259" s="9"/>
      <c r="J259" s="9">
        <v>15000</v>
      </c>
      <c r="K259" s="9"/>
      <c r="L259" s="9"/>
      <c r="M259" s="9"/>
      <c r="N259" s="9"/>
      <c r="O259" s="9">
        <f>SUM([1]BASE!$J259:$N259)</f>
        <v>15000</v>
      </c>
      <c r="P259" s="9"/>
      <c r="Q259" s="9">
        <f>[1]BASE!$O259-[1]BASE!$P259</f>
        <v>15000</v>
      </c>
      <c r="R259" s="9" t="s">
        <v>224</v>
      </c>
      <c r="S259" s="9">
        <v>56983818137</v>
      </c>
      <c r="T259" s="11"/>
      <c r="U259" s="9"/>
      <c r="V259" s="9"/>
      <c r="W259" s="9"/>
      <c r="X259" s="6"/>
    </row>
    <row r="260" spans="3:24" x14ac:dyDescent="0.3">
      <c r="C260" s="18">
        <v>63442607</v>
      </c>
      <c r="D260" s="13" t="s">
        <v>389</v>
      </c>
      <c r="E260" s="14" t="s">
        <v>368</v>
      </c>
      <c r="F260" s="9"/>
      <c r="G260" s="9"/>
      <c r="H260" s="9"/>
      <c r="I260" s="9"/>
      <c r="J260" s="9">
        <v>15000</v>
      </c>
      <c r="K260" s="9"/>
      <c r="L260" s="9"/>
      <c r="M260" s="9"/>
      <c r="N260" s="9"/>
      <c r="O260" s="9">
        <f>SUM([1]BASE!$J260:$N260)</f>
        <v>15000</v>
      </c>
      <c r="P260" s="9"/>
      <c r="Q260" s="9">
        <f>[1]BASE!$O260-[1]BASE!$P260</f>
        <v>15000</v>
      </c>
      <c r="R260" s="9" t="s">
        <v>224</v>
      </c>
      <c r="S260" s="9">
        <v>56996456684</v>
      </c>
      <c r="T260" s="11"/>
      <c r="U260" s="9"/>
      <c r="V260" s="9"/>
      <c r="W260" s="9"/>
      <c r="X260" s="6"/>
    </row>
    <row r="261" spans="3:24" x14ac:dyDescent="0.3">
      <c r="C261" s="18">
        <v>160995491</v>
      </c>
      <c r="D261" s="9" t="s">
        <v>126</v>
      </c>
      <c r="E261" s="14" t="s">
        <v>391</v>
      </c>
      <c r="F261" s="9"/>
      <c r="G261" s="9"/>
      <c r="H261" s="9"/>
      <c r="I261" s="9"/>
      <c r="J261" s="9">
        <v>15000</v>
      </c>
      <c r="K261" s="9"/>
      <c r="L261" s="9"/>
      <c r="M261" s="9"/>
      <c r="N261" s="9"/>
      <c r="O261" s="9">
        <f>SUM([1]BASE!$J261:$N261)</f>
        <v>15000</v>
      </c>
      <c r="P261" s="9"/>
      <c r="Q261" s="9">
        <f>[1]BASE!$O261-[1]BASE!$P261</f>
        <v>15000</v>
      </c>
      <c r="R261" s="9" t="s">
        <v>224</v>
      </c>
      <c r="S261" s="9">
        <v>56932490720</v>
      </c>
      <c r="T261" s="11"/>
      <c r="U261" s="9"/>
      <c r="V261" s="9"/>
      <c r="W261" s="9"/>
      <c r="X261" s="6"/>
    </row>
    <row r="262" spans="3:24" x14ac:dyDescent="0.3">
      <c r="C262" s="18">
        <v>60013144</v>
      </c>
      <c r="D262" s="13" t="s">
        <v>390</v>
      </c>
      <c r="E262" s="14" t="s">
        <v>391</v>
      </c>
      <c r="F262" s="9"/>
      <c r="G262" s="9"/>
      <c r="H262" s="9"/>
      <c r="I262" s="9"/>
      <c r="J262" s="9">
        <v>15000</v>
      </c>
      <c r="K262" s="9"/>
      <c r="L262" s="9"/>
      <c r="M262" s="9"/>
      <c r="N262" s="9"/>
      <c r="O262" s="9">
        <f>SUM([1]BASE!$J262:$N262)</f>
        <v>15000</v>
      </c>
      <c r="P262" s="9"/>
      <c r="Q262" s="9">
        <f>[1]BASE!$O262-[1]BASE!$P262</f>
        <v>15000</v>
      </c>
      <c r="R262" s="9" t="s">
        <v>224</v>
      </c>
      <c r="S262" s="9">
        <v>56968478001</v>
      </c>
      <c r="T262" s="11"/>
      <c r="U262" s="9"/>
      <c r="V262" s="9"/>
      <c r="W262" s="9"/>
      <c r="X262" s="6"/>
    </row>
    <row r="263" spans="3:24" x14ac:dyDescent="0.3">
      <c r="C263" s="18">
        <v>112241167</v>
      </c>
      <c r="D263" s="9" t="s">
        <v>459</v>
      </c>
      <c r="E263" s="14" t="s">
        <v>371</v>
      </c>
      <c r="F263" s="9"/>
      <c r="G263" s="9"/>
      <c r="H263" s="9"/>
      <c r="I263" s="9"/>
      <c r="J263" s="9">
        <v>15000</v>
      </c>
      <c r="K263" s="9"/>
      <c r="L263" s="9"/>
      <c r="M263" s="9"/>
      <c r="N263" s="9"/>
      <c r="O263" s="9">
        <f>SUM([1]BASE!$J263:$N263)</f>
        <v>15000</v>
      </c>
      <c r="P263" s="9"/>
      <c r="Q263" s="9">
        <f>[1]BASE!$O263-[1]BASE!$P263</f>
        <v>15000</v>
      </c>
      <c r="R263" s="9" t="s">
        <v>224</v>
      </c>
      <c r="S263" s="9">
        <v>56968302481</v>
      </c>
      <c r="T263" s="11"/>
      <c r="U263" s="9"/>
      <c r="V263" s="9"/>
      <c r="W263" s="9"/>
      <c r="X263" s="6"/>
    </row>
    <row r="264" spans="3:24" x14ac:dyDescent="0.3">
      <c r="C264" s="18" t="s">
        <v>393</v>
      </c>
      <c r="D264" s="13" t="s">
        <v>394</v>
      </c>
      <c r="E264" s="14" t="s">
        <v>371</v>
      </c>
      <c r="F264" s="9"/>
      <c r="G264" s="9"/>
      <c r="H264" s="9"/>
      <c r="I264" s="9"/>
      <c r="J264" s="9">
        <v>15000</v>
      </c>
      <c r="K264" s="9"/>
      <c r="L264" s="9"/>
      <c r="M264" s="9"/>
      <c r="N264" s="9"/>
      <c r="O264" s="9">
        <f>SUM([1]BASE!$J264:$N264)</f>
        <v>15000</v>
      </c>
      <c r="P264" s="9"/>
      <c r="Q264" s="9">
        <f>[1]BASE!$O264-[1]BASE!$P264</f>
        <v>15000</v>
      </c>
      <c r="R264" s="9" t="s">
        <v>224</v>
      </c>
      <c r="S264" s="9">
        <v>56961356031</v>
      </c>
      <c r="T264" s="11"/>
      <c r="U264" s="9"/>
      <c r="V264" s="9"/>
      <c r="W264" s="9"/>
      <c r="X264" s="6"/>
    </row>
    <row r="265" spans="3:24" x14ac:dyDescent="0.3">
      <c r="C265" s="18">
        <v>69725244</v>
      </c>
      <c r="D265" s="13" t="s">
        <v>309</v>
      </c>
      <c r="E265" s="14" t="s">
        <v>460</v>
      </c>
      <c r="F265" s="9"/>
      <c r="G265" s="9"/>
      <c r="H265" s="9"/>
      <c r="I265" s="9"/>
      <c r="J265" s="9">
        <v>15000</v>
      </c>
      <c r="K265" s="9"/>
      <c r="L265" s="9"/>
      <c r="M265" s="9"/>
      <c r="N265" s="9"/>
      <c r="O265" s="9">
        <f>SUM([1]BASE!$J265:$N265)</f>
        <v>15000</v>
      </c>
      <c r="P265" s="9"/>
      <c r="Q265" s="9">
        <f>[1]BASE!$O265-[1]BASE!$P265</f>
        <v>15000</v>
      </c>
      <c r="R265" s="9" t="s">
        <v>224</v>
      </c>
      <c r="S265" s="9">
        <v>56942370054</v>
      </c>
      <c r="T265" s="11"/>
      <c r="U265" s="9"/>
      <c r="V265" s="9"/>
      <c r="W265" s="9"/>
      <c r="X265" s="6"/>
    </row>
    <row r="266" spans="3:24" x14ac:dyDescent="0.3">
      <c r="C266" s="18">
        <v>136877674</v>
      </c>
      <c r="D266" s="13" t="s">
        <v>461</v>
      </c>
      <c r="E266" s="14" t="s">
        <v>462</v>
      </c>
      <c r="F266" s="9"/>
      <c r="G266" s="9"/>
      <c r="H266" s="9"/>
      <c r="I266" s="9"/>
      <c r="J266" s="9">
        <v>15000</v>
      </c>
      <c r="K266" s="9"/>
      <c r="L266" s="9"/>
      <c r="M266" s="9"/>
      <c r="N266" s="9"/>
      <c r="O266" s="9">
        <f>SUM([1]BASE!$J266:$N266)</f>
        <v>15000</v>
      </c>
      <c r="P266" s="9"/>
      <c r="Q266" s="9">
        <f>[1]BASE!$O266-[1]BASE!$P266</f>
        <v>15000</v>
      </c>
      <c r="R266" s="9" t="s">
        <v>224</v>
      </c>
      <c r="S266" s="9">
        <v>56985008101</v>
      </c>
      <c r="T266" s="11"/>
      <c r="U266" s="9"/>
      <c r="V266" s="9"/>
      <c r="W266" s="9"/>
      <c r="X266" s="6"/>
    </row>
    <row r="267" spans="3:24" x14ac:dyDescent="0.3">
      <c r="C267" s="18">
        <v>105278756</v>
      </c>
      <c r="D267" s="9" t="s">
        <v>463</v>
      </c>
      <c r="E267" s="14" t="s">
        <v>464</v>
      </c>
      <c r="F267" s="9"/>
      <c r="G267" s="9"/>
      <c r="H267" s="9"/>
      <c r="I267" s="9"/>
      <c r="J267" s="9">
        <v>15000</v>
      </c>
      <c r="K267" s="9"/>
      <c r="L267" s="9"/>
      <c r="M267" s="9"/>
      <c r="N267" s="9"/>
      <c r="O267" s="9">
        <f>SUM([1]BASE!$J267:$N267)</f>
        <v>15000</v>
      </c>
      <c r="P267" s="9"/>
      <c r="Q267" s="9">
        <f>[1]BASE!$O267-[1]BASE!$P267</f>
        <v>15000</v>
      </c>
      <c r="R267" s="9" t="s">
        <v>224</v>
      </c>
      <c r="S267" s="9">
        <v>56952204901</v>
      </c>
      <c r="T267" s="11"/>
      <c r="U267" s="9"/>
      <c r="V267" s="9"/>
      <c r="W267" s="9"/>
      <c r="X267" s="6"/>
    </row>
    <row r="268" spans="3:24" x14ac:dyDescent="0.3">
      <c r="C268" s="18">
        <v>140035971</v>
      </c>
      <c r="D268" s="13" t="s">
        <v>465</v>
      </c>
      <c r="E268" s="14" t="s">
        <v>466</v>
      </c>
      <c r="F268" s="9"/>
      <c r="G268" s="9"/>
      <c r="H268" s="9"/>
      <c r="I268" s="9"/>
      <c r="J268" s="9">
        <v>15000</v>
      </c>
      <c r="K268" s="9"/>
      <c r="L268" s="9"/>
      <c r="M268" s="9"/>
      <c r="N268" s="9"/>
      <c r="O268" s="9">
        <f>SUM([1]BASE!$J268:$N268)</f>
        <v>15000</v>
      </c>
      <c r="P268" s="9"/>
      <c r="Q268" s="9">
        <f>[1]BASE!$O268-[1]BASE!$P268</f>
        <v>15000</v>
      </c>
      <c r="R268" s="9" t="s">
        <v>224</v>
      </c>
      <c r="S268" s="9">
        <v>56991605199</v>
      </c>
      <c r="T268" s="11"/>
      <c r="U268" s="9"/>
      <c r="V268" s="9"/>
      <c r="W268" s="9"/>
      <c r="X268" s="6"/>
    </row>
    <row r="269" spans="3:24" x14ac:dyDescent="0.3">
      <c r="C269" s="18">
        <v>128683321</v>
      </c>
      <c r="D269" s="9" t="s">
        <v>467</v>
      </c>
      <c r="E269" s="14" t="s">
        <v>468</v>
      </c>
      <c r="F269" s="9"/>
      <c r="G269" s="9"/>
      <c r="H269" s="9"/>
      <c r="I269" s="9"/>
      <c r="J269" s="9">
        <v>15000</v>
      </c>
      <c r="K269" s="9"/>
      <c r="L269" s="9"/>
      <c r="M269" s="9"/>
      <c r="N269" s="9"/>
      <c r="O269" s="9">
        <f>SUM([1]BASE!$J269:$N269)</f>
        <v>15000</v>
      </c>
      <c r="P269" s="9"/>
      <c r="Q269" s="9">
        <f>[1]BASE!$O269-[1]BASE!$P269</f>
        <v>15000</v>
      </c>
      <c r="R269" s="9" t="s">
        <v>224</v>
      </c>
      <c r="S269" s="9">
        <v>56983616024</v>
      </c>
      <c r="T269" s="11"/>
      <c r="U269" s="9"/>
      <c r="V269" s="9"/>
      <c r="W269" s="9"/>
      <c r="X269" s="6"/>
    </row>
    <row r="270" spans="3:24" x14ac:dyDescent="0.3">
      <c r="C270" s="18">
        <v>104643469</v>
      </c>
      <c r="D270" s="13" t="s">
        <v>469</v>
      </c>
      <c r="E270" s="14" t="s">
        <v>470</v>
      </c>
      <c r="F270" s="9"/>
      <c r="G270" s="9"/>
      <c r="H270" s="9"/>
      <c r="I270" s="9"/>
      <c r="J270" s="9">
        <v>15000</v>
      </c>
      <c r="K270" s="9"/>
      <c r="L270" s="9"/>
      <c r="M270" s="9"/>
      <c r="N270" s="9"/>
      <c r="O270" s="9">
        <f>SUM([1]BASE!$J270:$N270)</f>
        <v>15000</v>
      </c>
      <c r="P270" s="9"/>
      <c r="Q270" s="9">
        <f>[1]BASE!$O270-[1]BASE!$P270</f>
        <v>15000</v>
      </c>
      <c r="R270" s="9" t="s">
        <v>224</v>
      </c>
      <c r="S270" s="9">
        <v>56994588132</v>
      </c>
      <c r="T270" s="11"/>
      <c r="U270" s="9"/>
      <c r="V270" s="9"/>
      <c r="W270" s="9"/>
      <c r="X270" s="6"/>
    </row>
    <row r="271" spans="3:24" x14ac:dyDescent="0.3">
      <c r="C271" s="18">
        <v>86664941</v>
      </c>
      <c r="D271" s="9" t="s">
        <v>471</v>
      </c>
      <c r="E271" s="14" t="s">
        <v>472</v>
      </c>
      <c r="F271" s="9"/>
      <c r="G271" s="9"/>
      <c r="H271" s="9"/>
      <c r="I271" s="9"/>
      <c r="J271" s="9">
        <v>15000</v>
      </c>
      <c r="K271" s="9"/>
      <c r="L271" s="9"/>
      <c r="M271" s="9"/>
      <c r="N271" s="9"/>
      <c r="O271" s="9">
        <f>SUM([1]BASE!$J271:$N271)</f>
        <v>15000</v>
      </c>
      <c r="P271" s="9"/>
      <c r="Q271" s="9">
        <f>[1]BASE!$O271-[1]BASE!$P271</f>
        <v>15000</v>
      </c>
      <c r="R271" s="9" t="s">
        <v>224</v>
      </c>
      <c r="S271" s="9">
        <v>56999174073</v>
      </c>
      <c r="T271" s="11"/>
      <c r="U271" s="9"/>
      <c r="V271" s="9"/>
      <c r="W271" s="9"/>
      <c r="X271" s="6"/>
    </row>
    <row r="272" spans="3:24" x14ac:dyDescent="0.3">
      <c r="C272" s="18">
        <v>60657386</v>
      </c>
      <c r="D272" s="13" t="s">
        <v>473</v>
      </c>
      <c r="E272" s="14" t="s">
        <v>474</v>
      </c>
      <c r="F272" s="9"/>
      <c r="G272" s="9"/>
      <c r="H272" s="9"/>
      <c r="I272" s="9"/>
      <c r="J272" s="9">
        <v>15000</v>
      </c>
      <c r="K272" s="9"/>
      <c r="L272" s="9"/>
      <c r="M272" s="9"/>
      <c r="N272" s="9"/>
      <c r="O272" s="9">
        <f>SUM([1]BASE!$J272:$N272)</f>
        <v>15000</v>
      </c>
      <c r="P272" s="9"/>
      <c r="Q272" s="9">
        <f>[1]BASE!$O272-[1]BASE!$P272</f>
        <v>15000</v>
      </c>
      <c r="R272" s="9" t="s">
        <v>224</v>
      </c>
      <c r="S272" s="9">
        <v>56944676500</v>
      </c>
      <c r="T272" s="11"/>
      <c r="U272" s="9"/>
      <c r="V272" s="9"/>
      <c r="W272" s="9"/>
      <c r="X272" s="6"/>
    </row>
    <row r="273" spans="3:24" x14ac:dyDescent="0.3">
      <c r="C273" s="18">
        <v>75798148</v>
      </c>
      <c r="D273" s="9" t="s">
        <v>475</v>
      </c>
      <c r="E273" s="14" t="s">
        <v>474</v>
      </c>
      <c r="F273" s="9"/>
      <c r="G273" s="9"/>
      <c r="H273" s="9"/>
      <c r="I273" s="9"/>
      <c r="J273" s="9">
        <v>15000</v>
      </c>
      <c r="K273" s="9"/>
      <c r="L273" s="9"/>
      <c r="M273" s="9"/>
      <c r="N273" s="9"/>
      <c r="O273" s="9">
        <f>SUM([1]BASE!$J273:$N273)</f>
        <v>15000</v>
      </c>
      <c r="P273" s="9"/>
      <c r="Q273" s="9">
        <f>[1]BASE!$O273-[1]BASE!$P273</f>
        <v>15000</v>
      </c>
      <c r="R273" s="9" t="s">
        <v>224</v>
      </c>
      <c r="S273" s="9">
        <v>56992913133</v>
      </c>
      <c r="T273" s="11"/>
      <c r="U273" s="9"/>
      <c r="V273" s="9"/>
      <c r="W273" s="9"/>
      <c r="X273" s="6"/>
    </row>
    <row r="274" spans="3:24" x14ac:dyDescent="0.3">
      <c r="C274" s="18">
        <v>164286215</v>
      </c>
      <c r="D274" s="13" t="s">
        <v>476</v>
      </c>
      <c r="E274" s="14" t="s">
        <v>477</v>
      </c>
      <c r="F274" s="9"/>
      <c r="G274" s="9"/>
      <c r="H274" s="9"/>
      <c r="I274" s="9"/>
      <c r="J274" s="9">
        <v>15000</v>
      </c>
      <c r="K274" s="9"/>
      <c r="L274" s="9"/>
      <c r="M274" s="9"/>
      <c r="N274" s="9"/>
      <c r="O274" s="9">
        <f>SUM([1]BASE!$J274:$N274)</f>
        <v>15000</v>
      </c>
      <c r="P274" s="9"/>
      <c r="Q274" s="9">
        <f>[1]BASE!$O274-[1]BASE!$P274</f>
        <v>15000</v>
      </c>
      <c r="R274" s="9" t="s">
        <v>224</v>
      </c>
      <c r="S274" s="9">
        <v>56954954043</v>
      </c>
      <c r="T274" s="11"/>
      <c r="U274" s="9"/>
      <c r="V274" s="9"/>
      <c r="W274" s="9"/>
      <c r="X274" s="6"/>
    </row>
    <row r="275" spans="3:24" x14ac:dyDescent="0.3">
      <c r="C275" s="18">
        <v>166626021</v>
      </c>
      <c r="D275" s="9" t="s">
        <v>478</v>
      </c>
      <c r="E275" s="14" t="s">
        <v>455</v>
      </c>
      <c r="F275" s="9"/>
      <c r="G275" s="9"/>
      <c r="H275" s="9"/>
      <c r="I275" s="9"/>
      <c r="J275" s="9">
        <v>15000</v>
      </c>
      <c r="K275" s="9"/>
      <c r="L275" s="9"/>
      <c r="M275" s="9"/>
      <c r="N275" s="9"/>
      <c r="O275" s="9">
        <f>SUM([1]BASE!$J275:$N275)</f>
        <v>15000</v>
      </c>
      <c r="P275" s="9"/>
      <c r="Q275" s="9">
        <f>[1]BASE!$O275-[1]BASE!$P275</f>
        <v>15000</v>
      </c>
      <c r="R275" s="9" t="s">
        <v>224</v>
      </c>
      <c r="S275" s="9">
        <v>56982300540</v>
      </c>
      <c r="T275" s="11"/>
      <c r="U275" s="9"/>
      <c r="V275" s="9"/>
      <c r="W275" s="9"/>
      <c r="X275" s="6"/>
    </row>
    <row r="276" spans="3:24" x14ac:dyDescent="0.3">
      <c r="C276" s="18">
        <v>778110237</v>
      </c>
      <c r="D276" s="9" t="s">
        <v>441</v>
      </c>
      <c r="E276" s="14" t="s">
        <v>432</v>
      </c>
      <c r="F276" s="9"/>
      <c r="G276" s="9"/>
      <c r="H276" s="9"/>
      <c r="I276" s="9"/>
      <c r="J276" s="9">
        <v>15000</v>
      </c>
      <c r="K276" s="9"/>
      <c r="L276" s="9"/>
      <c r="M276" s="9"/>
      <c r="N276" s="9"/>
      <c r="O276" s="9">
        <f>SUM([1]BASE!$J276:$N276)</f>
        <v>15000</v>
      </c>
      <c r="P276" s="9"/>
      <c r="Q276" s="9">
        <f>[1]BASE!$O276-[1]BASE!$P276</f>
        <v>15000</v>
      </c>
      <c r="R276" s="9" t="s">
        <v>224</v>
      </c>
      <c r="S276" s="9">
        <v>56964068909</v>
      </c>
      <c r="T276" s="11"/>
      <c r="U276" s="9"/>
      <c r="V276" s="9"/>
      <c r="W276" s="9"/>
      <c r="X276" s="6"/>
    </row>
    <row r="277" spans="3:24" x14ac:dyDescent="0.3">
      <c r="C277" s="18">
        <v>46610024</v>
      </c>
      <c r="D277" s="13" t="s">
        <v>479</v>
      </c>
      <c r="E277" s="14" t="s">
        <v>462</v>
      </c>
      <c r="F277" s="9"/>
      <c r="G277" s="9"/>
      <c r="H277" s="9"/>
      <c r="I277" s="9"/>
      <c r="J277" s="9">
        <v>15000</v>
      </c>
      <c r="K277" s="9"/>
      <c r="L277" s="9"/>
      <c r="M277" s="9"/>
      <c r="N277" s="9"/>
      <c r="O277" s="9">
        <f>SUM([1]BASE!$J277:$N277)</f>
        <v>15000</v>
      </c>
      <c r="P277" s="9"/>
      <c r="Q277" s="9">
        <f>[1]BASE!$O277-[1]BASE!$P277</f>
        <v>15000</v>
      </c>
      <c r="R277" s="9" t="s">
        <v>224</v>
      </c>
      <c r="S277" s="9">
        <v>56996508953</v>
      </c>
      <c r="T277" s="11"/>
      <c r="U277" s="9"/>
      <c r="V277" s="9"/>
      <c r="W277" s="9"/>
      <c r="X277" s="6"/>
    </row>
    <row r="278" spans="3:24" x14ac:dyDescent="0.3">
      <c r="C278" s="18">
        <v>74142575</v>
      </c>
      <c r="D278" s="9" t="s">
        <v>480</v>
      </c>
      <c r="E278" s="14" t="s">
        <v>481</v>
      </c>
      <c r="F278" s="9"/>
      <c r="G278" s="9"/>
      <c r="H278" s="9"/>
      <c r="I278" s="9"/>
      <c r="J278" s="9">
        <v>15000</v>
      </c>
      <c r="K278" s="9"/>
      <c r="L278" s="9"/>
      <c r="M278" s="9"/>
      <c r="N278" s="9"/>
      <c r="O278" s="9">
        <f>SUM([1]BASE!$J278:$N278)</f>
        <v>15000</v>
      </c>
      <c r="P278" s="9"/>
      <c r="Q278" s="9">
        <f>[1]BASE!$O278-[1]BASE!$P278</f>
        <v>15000</v>
      </c>
      <c r="R278" s="9" t="s">
        <v>224</v>
      </c>
      <c r="S278" s="9">
        <v>56979596678</v>
      </c>
      <c r="T278" s="11"/>
      <c r="U278" s="9"/>
      <c r="V278" s="9"/>
      <c r="W278" s="9"/>
      <c r="X278" s="6"/>
    </row>
    <row r="279" spans="3:24" x14ac:dyDescent="0.3">
      <c r="C279" s="18">
        <v>181284382</v>
      </c>
      <c r="D279" s="13" t="s">
        <v>482</v>
      </c>
      <c r="E279" s="14" t="s">
        <v>411</v>
      </c>
      <c r="F279" s="9"/>
      <c r="G279" s="9"/>
      <c r="H279" s="9"/>
      <c r="I279" s="9"/>
      <c r="J279" s="9">
        <v>15000</v>
      </c>
      <c r="K279" s="9"/>
      <c r="L279" s="9"/>
      <c r="M279" s="9"/>
      <c r="N279" s="9"/>
      <c r="O279" s="9">
        <f>SUM([1]BASE!$J279:$N279)</f>
        <v>15000</v>
      </c>
      <c r="P279" s="9"/>
      <c r="Q279" s="9">
        <f>[1]BASE!$O279-[1]BASE!$P279</f>
        <v>15000</v>
      </c>
      <c r="R279" s="9" t="s">
        <v>224</v>
      </c>
      <c r="S279" s="9">
        <v>56997497437</v>
      </c>
      <c r="T279" s="11"/>
      <c r="U279" s="9"/>
      <c r="V279" s="9"/>
      <c r="W279" s="9"/>
      <c r="X279" s="6"/>
    </row>
    <row r="280" spans="3:24" x14ac:dyDescent="0.3">
      <c r="C280" s="18">
        <v>105411243</v>
      </c>
      <c r="D280" s="9" t="s">
        <v>412</v>
      </c>
      <c r="E280" s="14" t="s">
        <v>483</v>
      </c>
      <c r="F280" s="9"/>
      <c r="G280" s="9"/>
      <c r="H280" s="9"/>
      <c r="I280" s="9"/>
      <c r="J280" s="9">
        <v>15000</v>
      </c>
      <c r="K280" s="9"/>
      <c r="L280" s="9"/>
      <c r="M280" s="9"/>
      <c r="N280" s="9"/>
      <c r="O280" s="9">
        <f>SUM([1]BASE!$J280:$N280)</f>
        <v>15000</v>
      </c>
      <c r="P280" s="9"/>
      <c r="Q280" s="9">
        <f>[1]BASE!$O280-[1]BASE!$P280</f>
        <v>15000</v>
      </c>
      <c r="R280" s="9" t="s">
        <v>224</v>
      </c>
      <c r="S280" s="9">
        <v>56920920324</v>
      </c>
      <c r="T280" s="11"/>
      <c r="U280" s="9"/>
      <c r="V280" s="9"/>
      <c r="W280" s="9"/>
      <c r="X280" s="6"/>
    </row>
    <row r="281" spans="3:24" x14ac:dyDescent="0.3">
      <c r="C281" s="18">
        <v>94772796</v>
      </c>
      <c r="D281" s="13" t="s">
        <v>484</v>
      </c>
      <c r="E281" s="14" t="s">
        <v>453</v>
      </c>
      <c r="F281" s="9"/>
      <c r="G281" s="9"/>
      <c r="H281" s="9"/>
      <c r="I281" s="9"/>
      <c r="J281" s="9">
        <v>15000</v>
      </c>
      <c r="K281" s="9"/>
      <c r="L281" s="9"/>
      <c r="M281" s="9"/>
      <c r="N281" s="9"/>
      <c r="O281" s="9">
        <f>SUM([1]BASE!$J281:$N281)</f>
        <v>15000</v>
      </c>
      <c r="P281" s="9"/>
      <c r="Q281" s="9">
        <f>[1]BASE!$O281-[1]BASE!$P281</f>
        <v>15000</v>
      </c>
      <c r="R281" s="9" t="s">
        <v>224</v>
      </c>
      <c r="S281" s="9">
        <v>56993258547</v>
      </c>
      <c r="T281" s="11"/>
      <c r="U281" s="9"/>
      <c r="V281" s="9"/>
      <c r="W281" s="9"/>
      <c r="X281" s="6"/>
    </row>
    <row r="282" spans="3:24" x14ac:dyDescent="0.3">
      <c r="C282" s="18">
        <v>122330427</v>
      </c>
      <c r="D282" s="9" t="s">
        <v>400</v>
      </c>
      <c r="E282" s="14" t="s">
        <v>376</v>
      </c>
      <c r="F282" s="9"/>
      <c r="G282" s="9"/>
      <c r="H282" s="9"/>
      <c r="I282" s="9"/>
      <c r="J282" s="9">
        <v>15000</v>
      </c>
      <c r="K282" s="9"/>
      <c r="L282" s="9"/>
      <c r="M282" s="9"/>
      <c r="N282" s="9"/>
      <c r="O282" s="9">
        <f>SUM([1]BASE!$J282:$N282)</f>
        <v>15000</v>
      </c>
      <c r="P282" s="9"/>
      <c r="Q282" s="9">
        <f>[1]BASE!$O282-[1]BASE!$P282</f>
        <v>15000</v>
      </c>
      <c r="R282" s="9" t="s">
        <v>224</v>
      </c>
      <c r="S282" s="9">
        <v>56941882775</v>
      </c>
      <c r="T282" s="11"/>
      <c r="U282" s="9"/>
      <c r="V282" s="9"/>
      <c r="W282" s="9"/>
      <c r="X282" s="6"/>
    </row>
    <row r="283" spans="3:24" x14ac:dyDescent="0.3">
      <c r="C283" s="18">
        <v>178768557</v>
      </c>
      <c r="D283" s="13" t="s">
        <v>485</v>
      </c>
      <c r="E283" s="14" t="s">
        <v>486</v>
      </c>
      <c r="F283" s="9"/>
      <c r="G283" s="9"/>
      <c r="H283" s="9"/>
      <c r="I283" s="9"/>
      <c r="J283" s="9">
        <v>15000</v>
      </c>
      <c r="K283" s="9"/>
      <c r="L283" s="9"/>
      <c r="M283" s="9"/>
      <c r="N283" s="9"/>
      <c r="O283" s="9">
        <f>SUM([1]BASE!$J283:$N283)</f>
        <v>15000</v>
      </c>
      <c r="P283" s="9"/>
      <c r="Q283" s="9">
        <f>[1]BASE!$O283-[1]BASE!$P283</f>
        <v>15000</v>
      </c>
      <c r="R283" s="9" t="s">
        <v>224</v>
      </c>
      <c r="S283" s="9">
        <v>56977872156</v>
      </c>
      <c r="T283" s="11"/>
      <c r="U283" s="9"/>
      <c r="V283" s="9"/>
      <c r="W283" s="9"/>
      <c r="X283" s="6"/>
    </row>
    <row r="284" spans="3:24" x14ac:dyDescent="0.3">
      <c r="C284" s="18">
        <v>766383750</v>
      </c>
      <c r="D284" s="9" t="s">
        <v>487</v>
      </c>
      <c r="E284" s="14" t="s">
        <v>488</v>
      </c>
      <c r="F284" s="9"/>
      <c r="G284" s="9"/>
      <c r="H284" s="9"/>
      <c r="I284" s="9"/>
      <c r="J284" s="9">
        <v>15000</v>
      </c>
      <c r="K284" s="9"/>
      <c r="L284" s="9"/>
      <c r="M284" s="9"/>
      <c r="N284" s="9"/>
      <c r="O284" s="9">
        <f>SUM([1]BASE!$J284:$N284)</f>
        <v>15000</v>
      </c>
      <c r="P284" s="9"/>
      <c r="Q284" s="9">
        <f>[1]BASE!$O284-[1]BASE!$P284</f>
        <v>15000</v>
      </c>
      <c r="R284" s="9" t="s">
        <v>224</v>
      </c>
      <c r="S284" s="9">
        <v>56978794320</v>
      </c>
      <c r="T284" s="11"/>
      <c r="U284" s="9"/>
      <c r="V284" s="9"/>
      <c r="W284" s="9"/>
      <c r="X284" s="6"/>
    </row>
    <row r="285" spans="3:24" x14ac:dyDescent="0.3">
      <c r="C285" s="18">
        <v>102052307</v>
      </c>
      <c r="D285" s="13" t="s">
        <v>489</v>
      </c>
      <c r="E285" s="14" t="s">
        <v>488</v>
      </c>
      <c r="F285" s="9"/>
      <c r="G285" s="9"/>
      <c r="H285" s="9"/>
      <c r="I285" s="9"/>
      <c r="J285" s="9">
        <v>15000</v>
      </c>
      <c r="K285" s="9"/>
      <c r="L285" s="9"/>
      <c r="M285" s="9"/>
      <c r="N285" s="9"/>
      <c r="O285" s="9">
        <f>SUM([1]BASE!$J285:$N285)</f>
        <v>15000</v>
      </c>
      <c r="P285" s="9"/>
      <c r="Q285" s="9">
        <f>[1]BASE!$O285-[1]BASE!$P285</f>
        <v>15000</v>
      </c>
      <c r="R285" s="9" t="s">
        <v>224</v>
      </c>
      <c r="S285" s="9">
        <v>56999438733</v>
      </c>
      <c r="T285" s="11"/>
      <c r="U285" s="9"/>
      <c r="V285" s="9"/>
      <c r="W285" s="9"/>
      <c r="X285" s="6"/>
    </row>
    <row r="286" spans="3:24" x14ac:dyDescent="0.3">
      <c r="C286" s="18">
        <v>104232957</v>
      </c>
      <c r="D286" s="9" t="s">
        <v>490</v>
      </c>
      <c r="E286" s="14" t="s">
        <v>486</v>
      </c>
      <c r="F286" s="9"/>
      <c r="G286" s="9"/>
      <c r="H286" s="9"/>
      <c r="I286" s="9"/>
      <c r="J286" s="9">
        <v>15000</v>
      </c>
      <c r="K286" s="9"/>
      <c r="L286" s="9"/>
      <c r="M286" s="9"/>
      <c r="N286" s="9"/>
      <c r="O286" s="9">
        <f>SUM([1]BASE!$J286:$N286)</f>
        <v>15000</v>
      </c>
      <c r="P286" s="9"/>
      <c r="Q286" s="9">
        <f>[1]BASE!$O286-[1]BASE!$P286</f>
        <v>15000</v>
      </c>
      <c r="R286" s="9" t="s">
        <v>224</v>
      </c>
      <c r="S286" s="9">
        <v>56993570823</v>
      </c>
      <c r="T286" s="11"/>
      <c r="U286" s="9"/>
      <c r="V286" s="9"/>
      <c r="W286" s="9"/>
      <c r="X286" s="6"/>
    </row>
    <row r="287" spans="3:24" x14ac:dyDescent="0.3">
      <c r="C287" s="18">
        <v>107161716</v>
      </c>
      <c r="D287" s="13" t="s">
        <v>491</v>
      </c>
      <c r="E287" s="14" t="s">
        <v>486</v>
      </c>
      <c r="F287" s="9"/>
      <c r="G287" s="9"/>
      <c r="H287" s="9"/>
      <c r="I287" s="9"/>
      <c r="J287" s="9">
        <v>15000</v>
      </c>
      <c r="K287" s="9"/>
      <c r="L287" s="9"/>
      <c r="M287" s="9"/>
      <c r="N287" s="9"/>
      <c r="O287" s="9">
        <f>SUM([1]BASE!$J287:$N287)</f>
        <v>15000</v>
      </c>
      <c r="P287" s="9"/>
      <c r="Q287" s="9">
        <f>[1]BASE!$O287-[1]BASE!$P287</f>
        <v>15000</v>
      </c>
      <c r="R287" s="9" t="s">
        <v>224</v>
      </c>
      <c r="S287" s="9">
        <v>56998375530</v>
      </c>
      <c r="T287" s="11"/>
      <c r="U287" s="9"/>
      <c r="V287" s="9"/>
      <c r="W287" s="9"/>
      <c r="X287" s="6"/>
    </row>
    <row r="288" spans="3:24" x14ac:dyDescent="0.3">
      <c r="C288" s="18" t="s">
        <v>492</v>
      </c>
      <c r="D288" s="9" t="s">
        <v>493</v>
      </c>
      <c r="E288" s="14" t="s">
        <v>494</v>
      </c>
      <c r="F288" s="9"/>
      <c r="G288" s="9"/>
      <c r="H288" s="9"/>
      <c r="I288" s="9"/>
      <c r="J288" s="9">
        <v>15000</v>
      </c>
      <c r="K288" s="9"/>
      <c r="L288" s="9"/>
      <c r="M288" s="9"/>
      <c r="N288" s="9"/>
      <c r="O288" s="9">
        <f>SUM([1]BASE!$J288:$N288)</f>
        <v>15000</v>
      </c>
      <c r="P288" s="9"/>
      <c r="Q288" s="9">
        <f>[1]BASE!$O288-[1]BASE!$P288</f>
        <v>15000</v>
      </c>
      <c r="R288" s="9" t="s">
        <v>224</v>
      </c>
      <c r="S288" s="9">
        <v>56978538665</v>
      </c>
      <c r="T288" s="11"/>
      <c r="U288" s="9"/>
      <c r="V288" s="9"/>
      <c r="W288" s="9"/>
      <c r="X288" s="6"/>
    </row>
    <row r="289" spans="3:24" x14ac:dyDescent="0.3">
      <c r="C289" s="18">
        <v>50790665</v>
      </c>
      <c r="D289" s="13" t="s">
        <v>495</v>
      </c>
      <c r="E289" s="14" t="s">
        <v>496</v>
      </c>
      <c r="F289" s="9"/>
      <c r="G289" s="9"/>
      <c r="H289" s="9"/>
      <c r="I289" s="9"/>
      <c r="J289" s="9">
        <v>15000</v>
      </c>
      <c r="K289" s="9"/>
      <c r="L289" s="9"/>
      <c r="M289" s="9"/>
      <c r="N289" s="9"/>
      <c r="O289" s="9">
        <f>SUM([1]BASE!$J289:$N289)</f>
        <v>15000</v>
      </c>
      <c r="P289" s="9"/>
      <c r="Q289" s="9">
        <f>[1]BASE!$O289-[1]BASE!$P289</f>
        <v>15000</v>
      </c>
      <c r="R289" s="9" t="s">
        <v>224</v>
      </c>
      <c r="S289" s="9">
        <v>56998302802</v>
      </c>
      <c r="T289" s="11"/>
      <c r="U289" s="9"/>
      <c r="V289" s="9"/>
      <c r="W289" s="9"/>
      <c r="X289" s="6"/>
    </row>
    <row r="290" spans="3:24" x14ac:dyDescent="0.3">
      <c r="C290" s="18">
        <v>60682070</v>
      </c>
      <c r="D290" s="13" t="s">
        <v>439</v>
      </c>
      <c r="E290" s="14" t="s">
        <v>440</v>
      </c>
      <c r="F290" s="9"/>
      <c r="G290" s="9"/>
      <c r="H290" s="9"/>
      <c r="I290" s="9"/>
      <c r="J290" s="9">
        <v>15000</v>
      </c>
      <c r="K290" s="9"/>
      <c r="L290" s="9"/>
      <c r="M290" s="9"/>
      <c r="N290" s="9"/>
      <c r="O290" s="9">
        <f>SUM([1]BASE!$J290:$N290)</f>
        <v>15000</v>
      </c>
      <c r="P290" s="9"/>
      <c r="Q290" s="9">
        <f>[1]BASE!$O290-[1]BASE!$P290</f>
        <v>15000</v>
      </c>
      <c r="R290" s="9" t="s">
        <v>224</v>
      </c>
      <c r="S290" s="9">
        <v>56966782083</v>
      </c>
      <c r="T290" s="11"/>
      <c r="U290" s="9"/>
      <c r="V290" s="9"/>
      <c r="W290" s="9"/>
      <c r="X290" s="6"/>
    </row>
    <row r="291" spans="3:24" x14ac:dyDescent="0.3">
      <c r="C291" s="11"/>
      <c r="D291" s="9"/>
      <c r="E291" s="14"/>
      <c r="F291" s="9"/>
      <c r="G291" s="9"/>
      <c r="H291" s="9"/>
      <c r="I291" s="9"/>
      <c r="J291" s="9"/>
      <c r="K291" s="9"/>
      <c r="L291" s="9"/>
      <c r="M291" s="9"/>
      <c r="N291" s="9"/>
      <c r="O291" s="9">
        <f>SUM([1]BASE!$J291:$N291)</f>
        <v>0</v>
      </c>
      <c r="P291" s="9"/>
      <c r="Q291" s="9">
        <f>[1]BASE!$O291-[1]BASE!$P291</f>
        <v>0</v>
      </c>
      <c r="R291" s="9" t="s">
        <v>224</v>
      </c>
      <c r="S291" s="9"/>
      <c r="T291" s="11"/>
      <c r="U291" s="9"/>
      <c r="V291" s="9"/>
      <c r="W291" s="9"/>
      <c r="X291" s="6"/>
    </row>
    <row r="292" spans="3:24" x14ac:dyDescent="0.3">
      <c r="C292" s="18"/>
      <c r="D292" s="9"/>
      <c r="E292" s="14"/>
      <c r="F292" s="9"/>
      <c r="G292" s="9"/>
      <c r="H292" s="9"/>
      <c r="I292" s="9"/>
      <c r="J292" s="9"/>
      <c r="K292" s="9"/>
      <c r="L292" s="9"/>
      <c r="M292" s="9"/>
      <c r="N292" s="9"/>
      <c r="O292" s="9">
        <f>SUM([1]BASE!$J292:$N292)</f>
        <v>0</v>
      </c>
      <c r="P292" s="9"/>
      <c r="Q292" s="9">
        <f>[1]BASE!$O292-[1]BASE!$P292</f>
        <v>0</v>
      </c>
      <c r="R292" s="9" t="s">
        <v>224</v>
      </c>
      <c r="S292" s="9"/>
      <c r="T292" s="11"/>
      <c r="U292" s="9"/>
      <c r="V292" s="9"/>
      <c r="W292" s="9"/>
      <c r="X292" s="6"/>
    </row>
    <row r="293" spans="3:24" x14ac:dyDescent="0.3">
      <c r="C293" s="11"/>
      <c r="D293" s="13"/>
      <c r="E293" s="14"/>
      <c r="F293" s="9"/>
      <c r="G293" s="9"/>
      <c r="H293" s="9"/>
      <c r="I293" s="9"/>
      <c r="J293" s="9"/>
      <c r="K293" s="9"/>
      <c r="L293" s="9"/>
      <c r="M293" s="9"/>
      <c r="N293" s="9"/>
      <c r="O293" s="9">
        <f>SUM([1]BASE!$J293:$N293)</f>
        <v>0</v>
      </c>
      <c r="P293" s="9"/>
      <c r="Q293" s="9">
        <f>[1]BASE!$O293-[1]BASE!$P293</f>
        <v>0</v>
      </c>
      <c r="R293" s="9" t="s">
        <v>224</v>
      </c>
      <c r="S293" s="9"/>
      <c r="T293" s="11"/>
      <c r="U293" s="9"/>
      <c r="V293" s="9"/>
      <c r="W293" s="9"/>
      <c r="X293" s="6"/>
    </row>
    <row r="294" spans="3:24" x14ac:dyDescent="0.3">
      <c r="C294" s="18"/>
      <c r="D294" s="9"/>
      <c r="E294" s="14"/>
      <c r="F294" s="9"/>
      <c r="G294" s="9"/>
      <c r="H294" s="9"/>
      <c r="I294" s="9"/>
      <c r="J294" s="9"/>
      <c r="K294" s="9"/>
      <c r="L294" s="9"/>
      <c r="M294" s="9"/>
      <c r="N294" s="9"/>
      <c r="O294" s="9">
        <f>SUM([1]BASE!$J294:$N294)</f>
        <v>0</v>
      </c>
      <c r="P294" s="9"/>
      <c r="Q294" s="9">
        <f>[1]BASE!$O294-[1]BASE!$P294</f>
        <v>0</v>
      </c>
      <c r="R294" s="9" t="s">
        <v>224</v>
      </c>
      <c r="S294" s="9"/>
      <c r="T294" s="11"/>
      <c r="U294" s="9"/>
      <c r="V294" s="9"/>
      <c r="W294" s="9"/>
      <c r="X294" s="6"/>
    </row>
    <row r="295" spans="3:24" x14ac:dyDescent="0.3">
      <c r="C295" s="11"/>
      <c r="D295" s="13"/>
      <c r="E295" s="14"/>
      <c r="F295" s="9"/>
      <c r="G295" s="9"/>
      <c r="H295" s="9"/>
      <c r="I295" s="9"/>
      <c r="J295" s="9"/>
      <c r="K295" s="9"/>
      <c r="L295" s="9"/>
      <c r="M295" s="9"/>
      <c r="N295" s="9"/>
      <c r="O295" s="9">
        <f>SUM([1]BASE!$J295:$N295)</f>
        <v>0</v>
      </c>
      <c r="P295" s="9"/>
      <c r="Q295" s="9">
        <f>[1]BASE!$O295-[1]BASE!$P295</f>
        <v>0</v>
      </c>
      <c r="R295" s="9" t="s">
        <v>224</v>
      </c>
      <c r="S295" s="9"/>
      <c r="T295" s="11"/>
      <c r="U295" s="9"/>
      <c r="V295" s="9"/>
      <c r="W295" s="9"/>
      <c r="X295" s="6"/>
    </row>
    <row r="296" spans="3:24" x14ac:dyDescent="0.3">
      <c r="C296" s="18"/>
      <c r="D296" s="9"/>
      <c r="E296" s="14"/>
      <c r="F296" s="9"/>
      <c r="G296" s="9"/>
      <c r="H296" s="9"/>
      <c r="I296" s="9"/>
      <c r="J296" s="9"/>
      <c r="K296" s="9"/>
      <c r="L296" s="9"/>
      <c r="M296" s="9"/>
      <c r="N296" s="9"/>
      <c r="O296" s="9">
        <f>SUM([1]BASE!$J296:$N296)</f>
        <v>0</v>
      </c>
      <c r="P296" s="9"/>
      <c r="Q296" s="9">
        <f>[1]BASE!$O296-[1]BASE!$P296</f>
        <v>0</v>
      </c>
      <c r="R296" s="9" t="s">
        <v>224</v>
      </c>
      <c r="S296" s="9"/>
      <c r="T296" s="11"/>
      <c r="U296" s="9"/>
      <c r="V296" s="9"/>
      <c r="W296" s="9"/>
      <c r="X296" s="6"/>
    </row>
    <row r="297" spans="3:24" x14ac:dyDescent="0.3">
      <c r="C297" s="11"/>
      <c r="D297" s="13"/>
      <c r="E297" s="14"/>
      <c r="F297" s="9"/>
      <c r="G297" s="9"/>
      <c r="H297" s="9"/>
      <c r="I297" s="9"/>
      <c r="J297" s="9"/>
      <c r="K297" s="9"/>
      <c r="L297" s="9"/>
      <c r="M297" s="9"/>
      <c r="N297" s="9"/>
      <c r="O297" s="9">
        <f>SUM([1]BASE!$J297:$N297)</f>
        <v>0</v>
      </c>
      <c r="P297" s="9"/>
      <c r="Q297" s="9">
        <f>[1]BASE!$O297-[1]BASE!$P297</f>
        <v>0</v>
      </c>
      <c r="R297" s="9" t="s">
        <v>224</v>
      </c>
      <c r="S297" s="9"/>
      <c r="T297" s="11"/>
      <c r="U297" s="9"/>
      <c r="V297" s="9"/>
      <c r="W297" s="9"/>
      <c r="X297" s="6"/>
    </row>
    <row r="298" spans="3:24" x14ac:dyDescent="0.3">
      <c r="C298" s="18"/>
      <c r="D298" s="9"/>
      <c r="E298" s="14"/>
      <c r="F298" s="9"/>
      <c r="G298" s="9"/>
      <c r="H298" s="9"/>
      <c r="I298" s="9"/>
      <c r="J298" s="9"/>
      <c r="K298" s="9"/>
      <c r="L298" s="9"/>
      <c r="M298" s="9"/>
      <c r="N298" s="9"/>
      <c r="O298" s="9">
        <f>SUM([1]BASE!$J298:$N298)</f>
        <v>0</v>
      </c>
      <c r="P298" s="9"/>
      <c r="Q298" s="9">
        <f>[1]BASE!$O298-[1]BASE!$P298</f>
        <v>0</v>
      </c>
      <c r="R298" s="9" t="s">
        <v>224</v>
      </c>
      <c r="S298" s="9"/>
      <c r="T298" s="11"/>
      <c r="U298" s="9"/>
      <c r="V298" s="9"/>
      <c r="W298" s="9"/>
      <c r="X298" s="6"/>
    </row>
    <row r="299" spans="3:24" x14ac:dyDescent="0.3">
      <c r="C299" s="11"/>
      <c r="D299" s="13"/>
      <c r="E299" s="14"/>
      <c r="F299" s="9"/>
      <c r="G299" s="9"/>
      <c r="H299" s="9"/>
      <c r="I299" s="9"/>
      <c r="J299" s="9"/>
      <c r="K299" s="9"/>
      <c r="L299" s="9"/>
      <c r="M299" s="9"/>
      <c r="N299" s="9"/>
      <c r="O299" s="9">
        <f>SUM([1]BASE!$J299:$N299)</f>
        <v>0</v>
      </c>
      <c r="P299" s="9"/>
      <c r="Q299" s="9">
        <f>[1]BASE!$O299-[1]BASE!$P299</f>
        <v>0</v>
      </c>
      <c r="R299" s="9" t="s">
        <v>224</v>
      </c>
      <c r="S299" s="9"/>
      <c r="T299" s="11"/>
      <c r="U299" s="9"/>
      <c r="V299" s="9"/>
      <c r="W299" s="9"/>
      <c r="X299" s="6"/>
    </row>
    <row r="300" spans="3:24" x14ac:dyDescent="0.3">
      <c r="C300" s="18"/>
      <c r="D300" s="9"/>
      <c r="E300" s="14"/>
      <c r="F300" s="9"/>
      <c r="G300" s="9"/>
      <c r="H300" s="9"/>
      <c r="I300" s="9"/>
      <c r="J300" s="9"/>
      <c r="K300" s="9"/>
      <c r="L300" s="9"/>
      <c r="M300" s="9"/>
      <c r="N300" s="9"/>
      <c r="O300" s="9">
        <f>SUM([1]BASE!$J300:$N300)</f>
        <v>0</v>
      </c>
      <c r="P300" s="9"/>
      <c r="Q300" s="9">
        <f>[1]BASE!$O300-[1]BASE!$P300</f>
        <v>0</v>
      </c>
      <c r="R300" s="9" t="s">
        <v>224</v>
      </c>
      <c r="S300" s="9"/>
      <c r="T300" s="11"/>
      <c r="U300" s="9"/>
      <c r="V300" s="9"/>
      <c r="W300" s="9"/>
      <c r="X300" s="6"/>
    </row>
    <row r="301" spans="3:24" x14ac:dyDescent="0.3">
      <c r="C301" s="11"/>
      <c r="D301" s="13"/>
      <c r="E301" s="14"/>
      <c r="F301" s="9"/>
      <c r="G301" s="9"/>
      <c r="H301" s="9"/>
      <c r="I301" s="9"/>
      <c r="J301" s="9"/>
      <c r="K301" s="9"/>
      <c r="L301" s="9"/>
      <c r="M301" s="9"/>
      <c r="N301" s="9"/>
      <c r="O301" s="9">
        <f>SUM([1]BASE!$J301:$N301)</f>
        <v>0</v>
      </c>
      <c r="P301" s="9"/>
      <c r="Q301" s="9">
        <f>[1]BASE!$O301-[1]BASE!$P301</f>
        <v>0</v>
      </c>
      <c r="R301" s="9" t="s">
        <v>224</v>
      </c>
      <c r="S301" s="9"/>
      <c r="T301" s="11"/>
      <c r="U301" s="9"/>
      <c r="V301" s="9"/>
      <c r="W301" s="9"/>
      <c r="X301" s="6"/>
    </row>
    <row r="302" spans="3:24" x14ac:dyDescent="0.3">
      <c r="C302" s="18"/>
      <c r="D302" s="9"/>
      <c r="E302" s="14"/>
      <c r="F302" s="9"/>
      <c r="G302" s="9"/>
      <c r="H302" s="9"/>
      <c r="I302" s="9"/>
      <c r="J302" s="9"/>
      <c r="K302" s="9"/>
      <c r="L302" s="9"/>
      <c r="M302" s="9"/>
      <c r="N302" s="9"/>
      <c r="O302" s="9">
        <f>SUM([1]BASE!$J302:$N302)</f>
        <v>0</v>
      </c>
      <c r="P302" s="9"/>
      <c r="Q302" s="9">
        <f>[1]BASE!$O302-[1]BASE!$P302</f>
        <v>0</v>
      </c>
      <c r="R302" s="9" t="s">
        <v>224</v>
      </c>
      <c r="S302" s="9"/>
      <c r="T302" s="11"/>
      <c r="U302" s="9"/>
      <c r="V302" s="9"/>
      <c r="W302" s="9"/>
      <c r="X302" s="6"/>
    </row>
    <row r="303" spans="3:24" x14ac:dyDescent="0.3">
      <c r="C303" s="11"/>
      <c r="D303" s="13"/>
      <c r="E303" s="14"/>
      <c r="F303" s="9"/>
      <c r="G303" s="9"/>
      <c r="H303" s="9"/>
      <c r="I303" s="9"/>
      <c r="J303" s="9"/>
      <c r="K303" s="9"/>
      <c r="L303" s="9"/>
      <c r="M303" s="9"/>
      <c r="N303" s="9"/>
      <c r="O303" s="9">
        <f>SUM([1]BASE!$J303:$N303)</f>
        <v>0</v>
      </c>
      <c r="P303" s="9"/>
      <c r="Q303" s="9">
        <f>[1]BASE!$O303-[1]BASE!$P303</f>
        <v>0</v>
      </c>
      <c r="R303" s="9" t="s">
        <v>224</v>
      </c>
      <c r="S303" s="9"/>
      <c r="T303" s="11"/>
      <c r="U303" s="9"/>
      <c r="V303" s="9"/>
      <c r="W303" s="9"/>
      <c r="X303" s="6"/>
    </row>
    <row r="304" spans="3:24" x14ac:dyDescent="0.3">
      <c r="C304" s="18"/>
      <c r="D304" s="9"/>
      <c r="E304" s="14"/>
      <c r="F304" s="9"/>
      <c r="G304" s="9"/>
      <c r="H304" s="9"/>
      <c r="I304" s="9"/>
      <c r="J304" s="9"/>
      <c r="K304" s="9"/>
      <c r="L304" s="9"/>
      <c r="M304" s="9"/>
      <c r="N304" s="9"/>
      <c r="O304" s="9">
        <f>SUM([1]BASE!$J304:$N304)</f>
        <v>0</v>
      </c>
      <c r="P304" s="9"/>
      <c r="Q304" s="9">
        <f>[1]BASE!$O304-[1]BASE!$P304</f>
        <v>0</v>
      </c>
      <c r="R304" s="9" t="s">
        <v>224</v>
      </c>
      <c r="S304" s="9"/>
      <c r="T304" s="11"/>
      <c r="U304" s="9"/>
      <c r="V304" s="9"/>
      <c r="W304" s="9"/>
      <c r="X304" s="6"/>
    </row>
    <row r="305" spans="3:24" x14ac:dyDescent="0.3">
      <c r="C305" s="11"/>
      <c r="D305" s="13"/>
      <c r="E305" s="14"/>
      <c r="F305" s="9"/>
      <c r="G305" s="9"/>
      <c r="H305" s="9"/>
      <c r="I305" s="9"/>
      <c r="J305" s="9"/>
      <c r="K305" s="9"/>
      <c r="L305" s="9"/>
      <c r="M305" s="9"/>
      <c r="N305" s="9"/>
      <c r="O305" s="9">
        <f>SUM([1]BASE!$J305:$N305)</f>
        <v>0</v>
      </c>
      <c r="P305" s="9"/>
      <c r="Q305" s="9">
        <f>[1]BASE!$O305-[1]BASE!$P305</f>
        <v>0</v>
      </c>
      <c r="R305" s="9" t="s">
        <v>224</v>
      </c>
      <c r="S305" s="9"/>
      <c r="T305" s="11"/>
      <c r="U305" s="9"/>
      <c r="V305" s="9"/>
      <c r="W305" s="9"/>
      <c r="X305" s="6"/>
    </row>
    <row r="306" spans="3:24" x14ac:dyDescent="0.3">
      <c r="C306" s="18"/>
      <c r="D306" s="9"/>
      <c r="E306" s="14"/>
      <c r="F306" s="9"/>
      <c r="G306" s="9"/>
      <c r="H306" s="9"/>
      <c r="I306" s="9"/>
      <c r="J306" s="9"/>
      <c r="K306" s="9"/>
      <c r="L306" s="9"/>
      <c r="M306" s="9"/>
      <c r="N306" s="9"/>
      <c r="O306" s="9">
        <f>SUM([1]BASE!$J306:$N306)</f>
        <v>0</v>
      </c>
      <c r="P306" s="9"/>
      <c r="Q306" s="9">
        <f>[1]BASE!$O306-[1]BASE!$P306</f>
        <v>0</v>
      </c>
      <c r="R306" s="9" t="s">
        <v>224</v>
      </c>
      <c r="S306" s="9"/>
      <c r="T306" s="11"/>
      <c r="U306" s="9"/>
      <c r="V306" s="9"/>
      <c r="W306" s="9"/>
      <c r="X306" s="6"/>
    </row>
    <row r="307" spans="3:24" x14ac:dyDescent="0.3">
      <c r="C307" s="11"/>
      <c r="D307" s="13"/>
      <c r="E307" s="14"/>
      <c r="F307" s="9"/>
      <c r="G307" s="9"/>
      <c r="H307" s="9"/>
      <c r="I307" s="9"/>
      <c r="J307" s="9"/>
      <c r="K307" s="9"/>
      <c r="L307" s="9"/>
      <c r="M307" s="9"/>
      <c r="N307" s="9"/>
      <c r="O307" s="9">
        <f>SUM([1]BASE!$J307:$N307)</f>
        <v>0</v>
      </c>
      <c r="P307" s="9"/>
      <c r="Q307" s="9">
        <f>[1]BASE!$O307-[1]BASE!$P307</f>
        <v>0</v>
      </c>
      <c r="R307" s="9" t="s">
        <v>224</v>
      </c>
      <c r="S307" s="9"/>
      <c r="T307" s="11"/>
      <c r="U307" s="9"/>
      <c r="V307" s="9"/>
      <c r="W307" s="9"/>
      <c r="X307" s="6"/>
    </row>
    <row r="308" spans="3:24" x14ac:dyDescent="0.3">
      <c r="C308" s="18"/>
      <c r="D308" s="9"/>
      <c r="E308" s="14"/>
      <c r="F308" s="9"/>
      <c r="G308" s="9"/>
      <c r="H308" s="9"/>
      <c r="I308" s="9"/>
      <c r="J308" s="9"/>
      <c r="K308" s="9"/>
      <c r="L308" s="9"/>
      <c r="M308" s="9"/>
      <c r="N308" s="9"/>
      <c r="O308" s="9">
        <f>SUM([1]BASE!$J308:$N308)</f>
        <v>0</v>
      </c>
      <c r="P308" s="9"/>
      <c r="Q308" s="9">
        <f>[1]BASE!$O308-[1]BASE!$P308</f>
        <v>0</v>
      </c>
      <c r="R308" s="9" t="s">
        <v>224</v>
      </c>
      <c r="S308" s="9"/>
      <c r="T308" s="11"/>
      <c r="U308" s="9"/>
      <c r="V308" s="9"/>
      <c r="W308" s="9"/>
      <c r="X308" s="6"/>
    </row>
    <row r="309" spans="3:24" x14ac:dyDescent="0.3">
      <c r="C309" s="11"/>
      <c r="D309" s="13"/>
      <c r="E309" s="14"/>
      <c r="F309" s="9"/>
      <c r="G309" s="9"/>
      <c r="H309" s="9"/>
      <c r="I309" s="9"/>
      <c r="J309" s="9"/>
      <c r="K309" s="9"/>
      <c r="L309" s="9"/>
      <c r="M309" s="9"/>
      <c r="N309" s="9"/>
      <c r="O309" s="9">
        <f>SUM([1]BASE!$J309:$N309)</f>
        <v>0</v>
      </c>
      <c r="P309" s="9"/>
      <c r="Q309" s="9">
        <f>[1]BASE!$O309-[1]BASE!$P309</f>
        <v>0</v>
      </c>
      <c r="R309" s="9" t="s">
        <v>224</v>
      </c>
      <c r="S309" s="9"/>
      <c r="T309" s="11"/>
      <c r="U309" s="9"/>
      <c r="V309" s="9"/>
      <c r="W309" s="9"/>
      <c r="X309" s="6"/>
    </row>
    <row r="310" spans="3:24" x14ac:dyDescent="0.3">
      <c r="C310" s="18"/>
      <c r="D310" s="9"/>
      <c r="E310" s="14"/>
      <c r="F310" s="9"/>
      <c r="G310" s="9"/>
      <c r="H310" s="9"/>
      <c r="I310" s="9"/>
      <c r="J310" s="9"/>
      <c r="K310" s="9"/>
      <c r="L310" s="9"/>
      <c r="M310" s="9"/>
      <c r="N310" s="9"/>
      <c r="O310" s="9">
        <f>SUM([1]BASE!$J310:$N310)</f>
        <v>0</v>
      </c>
      <c r="P310" s="9"/>
      <c r="Q310" s="9">
        <f>[1]BASE!$O310-[1]BASE!$P310</f>
        <v>0</v>
      </c>
      <c r="R310" s="9" t="s">
        <v>224</v>
      </c>
      <c r="S310" s="9"/>
      <c r="T310" s="11"/>
      <c r="U310" s="9"/>
      <c r="V310" s="9"/>
      <c r="W310" s="9"/>
      <c r="X310" s="6"/>
    </row>
    <row r="311" spans="3:24" x14ac:dyDescent="0.3">
      <c r="C311" s="11"/>
      <c r="D311" s="13"/>
      <c r="E311" s="14"/>
      <c r="F311" s="9"/>
      <c r="G311" s="9"/>
      <c r="H311" s="9"/>
      <c r="I311" s="9"/>
      <c r="J311" s="9"/>
      <c r="K311" s="9"/>
      <c r="L311" s="9"/>
      <c r="M311" s="9"/>
      <c r="N311" s="9"/>
      <c r="O311" s="9">
        <f>SUM([1]BASE!$J311:$N311)</f>
        <v>0</v>
      </c>
      <c r="P311" s="9"/>
      <c r="Q311" s="9">
        <f>[1]BASE!$O311-[1]BASE!$P311</f>
        <v>0</v>
      </c>
      <c r="R311" s="9" t="s">
        <v>224</v>
      </c>
      <c r="S311" s="9"/>
      <c r="T311" s="11"/>
      <c r="U311" s="9"/>
      <c r="V311" s="9"/>
      <c r="W311" s="9"/>
      <c r="X311" s="6"/>
    </row>
    <row r="312" spans="3:24" x14ac:dyDescent="0.3">
      <c r="C312" s="18"/>
      <c r="D312" s="9"/>
      <c r="E312" s="14"/>
      <c r="F312" s="9"/>
      <c r="G312" s="9"/>
      <c r="H312" s="9"/>
      <c r="I312" s="9"/>
      <c r="J312" s="9"/>
      <c r="K312" s="9"/>
      <c r="L312" s="9"/>
      <c r="M312" s="9"/>
      <c r="N312" s="9"/>
      <c r="O312" s="9">
        <f>SUM([1]BASE!$J312:$N312)</f>
        <v>0</v>
      </c>
      <c r="P312" s="9"/>
      <c r="Q312" s="9">
        <f>[1]BASE!$O312-[1]BASE!$P312</f>
        <v>0</v>
      </c>
      <c r="R312" s="9" t="s">
        <v>224</v>
      </c>
      <c r="S312" s="9"/>
      <c r="T312" s="11"/>
      <c r="U312" s="9"/>
      <c r="V312" s="9"/>
      <c r="W312" s="9"/>
      <c r="X312" s="6"/>
    </row>
    <row r="313" spans="3:24" x14ac:dyDescent="0.3">
      <c r="C313" s="11"/>
      <c r="D313" s="13"/>
      <c r="E313" s="14"/>
      <c r="F313" s="9"/>
      <c r="G313" s="9"/>
      <c r="H313" s="9"/>
      <c r="I313" s="9"/>
      <c r="J313" s="9"/>
      <c r="K313" s="9"/>
      <c r="L313" s="9"/>
      <c r="M313" s="9"/>
      <c r="N313" s="9"/>
      <c r="O313" s="9">
        <f>SUM([1]BASE!$J313:$N313)</f>
        <v>0</v>
      </c>
      <c r="P313" s="9"/>
      <c r="Q313" s="9">
        <f>[1]BASE!$O313-[1]BASE!$P313</f>
        <v>0</v>
      </c>
      <c r="R313" s="9" t="s">
        <v>224</v>
      </c>
      <c r="S313" s="9"/>
      <c r="T313" s="11"/>
      <c r="U313" s="9"/>
      <c r="V313" s="9"/>
      <c r="W313" s="9"/>
      <c r="X313" s="6"/>
    </row>
    <row r="314" spans="3:24" x14ac:dyDescent="0.3">
      <c r="C314" s="18"/>
      <c r="D314" s="9"/>
      <c r="E314" s="14"/>
      <c r="F314" s="9"/>
      <c r="G314" s="9"/>
      <c r="H314" s="9"/>
      <c r="I314" s="9"/>
      <c r="J314" s="9"/>
      <c r="K314" s="9"/>
      <c r="L314" s="9"/>
      <c r="M314" s="9"/>
      <c r="N314" s="9"/>
      <c r="O314" s="9">
        <f>SUM([1]BASE!$J314:$N314)</f>
        <v>0</v>
      </c>
      <c r="P314" s="9"/>
      <c r="Q314" s="9">
        <f>[1]BASE!$O314-[1]BASE!$P314</f>
        <v>0</v>
      </c>
      <c r="R314" s="9" t="s">
        <v>224</v>
      </c>
      <c r="S314" s="9"/>
      <c r="T314" s="11"/>
      <c r="U314" s="9"/>
      <c r="V314" s="9"/>
      <c r="W314" s="9"/>
      <c r="X314" s="6"/>
    </row>
    <row r="315" spans="3:24" x14ac:dyDescent="0.3">
      <c r="C315" s="11"/>
      <c r="D315" s="13"/>
      <c r="E315" s="14"/>
      <c r="F315" s="9"/>
      <c r="G315" s="9"/>
      <c r="H315" s="9"/>
      <c r="I315" s="9"/>
      <c r="J315" s="9"/>
      <c r="K315" s="9"/>
      <c r="L315" s="9"/>
      <c r="M315" s="9"/>
      <c r="N315" s="9"/>
      <c r="O315" s="9">
        <f>SUM([1]BASE!$J315:$N315)</f>
        <v>0</v>
      </c>
      <c r="P315" s="9"/>
      <c r="Q315" s="9">
        <f>[1]BASE!$O315-[1]BASE!$P315</f>
        <v>0</v>
      </c>
      <c r="R315" s="9" t="s">
        <v>224</v>
      </c>
      <c r="S315" s="9"/>
      <c r="T315" s="11"/>
      <c r="U315" s="9"/>
      <c r="V315" s="9"/>
      <c r="W315" s="9"/>
      <c r="X315" s="6"/>
    </row>
    <row r="316" spans="3:24" x14ac:dyDescent="0.3">
      <c r="C316" s="18"/>
      <c r="D316" s="9"/>
      <c r="E316" s="14"/>
      <c r="F316" s="9"/>
      <c r="G316" s="9"/>
      <c r="H316" s="9"/>
      <c r="I316" s="9"/>
      <c r="J316" s="9"/>
      <c r="K316" s="9"/>
      <c r="L316" s="9"/>
      <c r="M316" s="9"/>
      <c r="N316" s="9"/>
      <c r="O316" s="9">
        <f>SUM([1]BASE!$J316:$N316)</f>
        <v>0</v>
      </c>
      <c r="P316" s="9"/>
      <c r="Q316" s="9">
        <f>[1]BASE!$O316-[1]BASE!$P316</f>
        <v>0</v>
      </c>
      <c r="R316" s="9" t="s">
        <v>224</v>
      </c>
      <c r="S316" s="9"/>
      <c r="T316" s="11"/>
      <c r="U316" s="9"/>
      <c r="V316" s="9"/>
      <c r="W316" s="9"/>
      <c r="X316" s="6"/>
    </row>
    <row r="317" spans="3:24" x14ac:dyDescent="0.3">
      <c r="C317" s="11"/>
      <c r="D317" s="13"/>
      <c r="E317" s="14"/>
      <c r="F317" s="9"/>
      <c r="G317" s="9"/>
      <c r="H317" s="9"/>
      <c r="I317" s="9"/>
      <c r="J317" s="9"/>
      <c r="K317" s="9"/>
      <c r="L317" s="9"/>
      <c r="M317" s="9"/>
      <c r="N317" s="9"/>
      <c r="O317" s="9">
        <f>SUM([1]BASE!$J317:$N317)</f>
        <v>0</v>
      </c>
      <c r="P317" s="9"/>
      <c r="Q317" s="9">
        <f>[1]BASE!$O317-[1]BASE!$P317</f>
        <v>0</v>
      </c>
      <c r="R317" s="9" t="s">
        <v>224</v>
      </c>
      <c r="S317" s="9"/>
      <c r="T317" s="11"/>
      <c r="U317" s="9"/>
      <c r="V317" s="9"/>
      <c r="W317" s="9"/>
      <c r="X317" s="6"/>
    </row>
    <row r="318" spans="3:24" x14ac:dyDescent="0.3">
      <c r="C318" s="18"/>
      <c r="D318" s="9"/>
      <c r="E318" s="14"/>
      <c r="F318" s="9"/>
      <c r="G318" s="9"/>
      <c r="H318" s="9"/>
      <c r="I318" s="9"/>
      <c r="J318" s="9"/>
      <c r="K318" s="9"/>
      <c r="L318" s="9"/>
      <c r="M318" s="9"/>
      <c r="N318" s="9"/>
      <c r="O318" s="9">
        <f>SUM([1]BASE!$J318:$N318)</f>
        <v>0</v>
      </c>
      <c r="P318" s="9"/>
      <c r="Q318" s="9">
        <f>[1]BASE!$O318-[1]BASE!$P318</f>
        <v>0</v>
      </c>
      <c r="R318" s="9" t="s">
        <v>224</v>
      </c>
      <c r="S318" s="9"/>
      <c r="T318" s="11"/>
      <c r="U318" s="9"/>
      <c r="V318" s="9"/>
      <c r="W318" s="9"/>
      <c r="X318" s="6"/>
    </row>
    <row r="319" spans="3:24" x14ac:dyDescent="0.3">
      <c r="C319" s="11"/>
      <c r="D319" s="13"/>
      <c r="E319" s="14"/>
      <c r="F319" s="9"/>
      <c r="G319" s="9"/>
      <c r="H319" s="9"/>
      <c r="I319" s="9"/>
      <c r="J319" s="9"/>
      <c r="K319" s="9"/>
      <c r="L319" s="9"/>
      <c r="M319" s="9"/>
      <c r="N319" s="9"/>
      <c r="O319" s="9">
        <f>SUM([1]BASE!$J319:$N319)</f>
        <v>0</v>
      </c>
      <c r="P319" s="9"/>
      <c r="Q319" s="9">
        <f>[1]BASE!$O319-[1]BASE!$P319</f>
        <v>0</v>
      </c>
      <c r="R319" s="9" t="s">
        <v>224</v>
      </c>
      <c r="S319" s="9"/>
      <c r="T319" s="11"/>
      <c r="U319" s="9"/>
      <c r="V319" s="9"/>
      <c r="W319" s="9"/>
      <c r="X319" s="6"/>
    </row>
    <row r="320" spans="3:24" x14ac:dyDescent="0.3">
      <c r="C320" s="18"/>
      <c r="D320" s="9"/>
      <c r="E320" s="14"/>
      <c r="F320" s="9"/>
      <c r="G320" s="9"/>
      <c r="H320" s="9"/>
      <c r="I320" s="9"/>
      <c r="J320" s="9"/>
      <c r="K320" s="9"/>
      <c r="L320" s="9"/>
      <c r="M320" s="9"/>
      <c r="N320" s="9"/>
      <c r="O320" s="9">
        <f>SUM([1]BASE!$J320:$N320)</f>
        <v>0</v>
      </c>
      <c r="P320" s="9"/>
      <c r="Q320" s="9">
        <f>[1]BASE!$O320-[1]BASE!$P320</f>
        <v>0</v>
      </c>
      <c r="R320" s="9" t="s">
        <v>224</v>
      </c>
      <c r="S320" s="9"/>
      <c r="T320" s="11"/>
      <c r="U320" s="9"/>
      <c r="V320" s="9"/>
      <c r="W320" s="9"/>
      <c r="X320" s="6"/>
    </row>
    <row r="321" spans="3:24" x14ac:dyDescent="0.3">
      <c r="C321" s="11"/>
      <c r="D321" s="13"/>
      <c r="E321" s="14"/>
      <c r="F321" s="9"/>
      <c r="G321" s="9"/>
      <c r="H321" s="9"/>
      <c r="I321" s="9"/>
      <c r="J321" s="9"/>
      <c r="K321" s="9"/>
      <c r="L321" s="9"/>
      <c r="M321" s="9"/>
      <c r="N321" s="9"/>
      <c r="O321" s="9">
        <f>SUM([1]BASE!$J321:$N321)</f>
        <v>0</v>
      </c>
      <c r="P321" s="9"/>
      <c r="Q321" s="9">
        <f>[1]BASE!$O321-[1]BASE!$P321</f>
        <v>0</v>
      </c>
      <c r="R321" s="9" t="s">
        <v>224</v>
      </c>
      <c r="S321" s="9"/>
      <c r="T321" s="11"/>
      <c r="U321" s="9"/>
      <c r="V321" s="9"/>
      <c r="W321" s="9"/>
      <c r="X321" s="6"/>
    </row>
    <row r="322" spans="3:24" x14ac:dyDescent="0.3">
      <c r="C322" s="18"/>
      <c r="D322" s="9"/>
      <c r="E322" s="14"/>
      <c r="F322" s="9"/>
      <c r="G322" s="9"/>
      <c r="H322" s="9"/>
      <c r="I322" s="9"/>
      <c r="J322" s="9"/>
      <c r="K322" s="9"/>
      <c r="L322" s="9"/>
      <c r="M322" s="9"/>
      <c r="N322" s="9"/>
      <c r="O322" s="9">
        <f>SUM([1]BASE!$J322:$N322)</f>
        <v>0</v>
      </c>
      <c r="P322" s="9"/>
      <c r="Q322" s="9">
        <f>[1]BASE!$O322-[1]BASE!$P322</f>
        <v>0</v>
      </c>
      <c r="R322" s="9" t="s">
        <v>224</v>
      </c>
      <c r="S322" s="9"/>
      <c r="T322" s="11"/>
      <c r="U322" s="9"/>
      <c r="V322" s="9"/>
      <c r="W322" s="9"/>
      <c r="X322" s="6"/>
    </row>
    <row r="323" spans="3:24" x14ac:dyDescent="0.3">
      <c r="C323" s="11"/>
      <c r="D323" s="13"/>
      <c r="E323" s="14"/>
      <c r="F323" s="9"/>
      <c r="G323" s="9"/>
      <c r="H323" s="9"/>
      <c r="I323" s="9"/>
      <c r="J323" s="9"/>
      <c r="K323" s="9"/>
      <c r="L323" s="9"/>
      <c r="M323" s="9"/>
      <c r="N323" s="9"/>
      <c r="O323" s="9">
        <f>SUM([1]BASE!$J323:$N323)</f>
        <v>0</v>
      </c>
      <c r="P323" s="9"/>
      <c r="Q323" s="9">
        <f>[1]BASE!$O323-[1]BASE!$P323</f>
        <v>0</v>
      </c>
      <c r="R323" s="9" t="s">
        <v>224</v>
      </c>
      <c r="S323" s="9"/>
      <c r="T323" s="11"/>
      <c r="U323" s="9"/>
      <c r="V323" s="9"/>
      <c r="W323" s="9"/>
      <c r="X323" s="6"/>
    </row>
    <row r="324" spans="3:24" x14ac:dyDescent="0.3">
      <c r="C324" s="18"/>
      <c r="D324" s="9"/>
      <c r="E324" s="14"/>
      <c r="F324" s="9"/>
      <c r="G324" s="9"/>
      <c r="H324" s="9"/>
      <c r="I324" s="9"/>
      <c r="J324" s="9"/>
      <c r="K324" s="9"/>
      <c r="L324" s="9"/>
      <c r="M324" s="9"/>
      <c r="N324" s="9"/>
      <c r="O324" s="9">
        <f>SUM([1]BASE!$J324:$N324)</f>
        <v>0</v>
      </c>
      <c r="P324" s="9"/>
      <c r="Q324" s="9">
        <f>[1]BASE!$O324-[1]BASE!$P324</f>
        <v>0</v>
      </c>
      <c r="R324" s="9" t="s">
        <v>224</v>
      </c>
      <c r="S324" s="9"/>
      <c r="T324" s="11"/>
      <c r="U324" s="9"/>
      <c r="V324" s="9"/>
      <c r="W324" s="9"/>
      <c r="X324" s="6"/>
    </row>
    <row r="325" spans="3:24" x14ac:dyDescent="0.3">
      <c r="C325" s="11"/>
      <c r="D325" s="13"/>
      <c r="E325" s="14"/>
      <c r="F325" s="9"/>
      <c r="G325" s="9"/>
      <c r="H325" s="9"/>
      <c r="I325" s="9"/>
      <c r="J325" s="9"/>
      <c r="K325" s="9"/>
      <c r="L325" s="9"/>
      <c r="M325" s="9"/>
      <c r="N325" s="9"/>
      <c r="O325" s="9">
        <f>SUM([1]BASE!$J325:$N325)</f>
        <v>0</v>
      </c>
      <c r="P325" s="9"/>
      <c r="Q325" s="9">
        <f>[1]BASE!$O325-[1]BASE!$P325</f>
        <v>0</v>
      </c>
      <c r="R325" s="9" t="s">
        <v>224</v>
      </c>
      <c r="S325" s="9"/>
      <c r="T325" s="11"/>
      <c r="U325" s="9"/>
      <c r="V325" s="9"/>
      <c r="W325" s="9"/>
      <c r="X325" s="6"/>
    </row>
    <row r="326" spans="3:24" x14ac:dyDescent="0.3">
      <c r="C326" s="18"/>
      <c r="D326" s="9"/>
      <c r="E326" s="14"/>
      <c r="F326" s="9"/>
      <c r="G326" s="9"/>
      <c r="H326" s="9"/>
      <c r="I326" s="9"/>
      <c r="J326" s="9"/>
      <c r="K326" s="9"/>
      <c r="L326" s="9"/>
      <c r="M326" s="9"/>
      <c r="N326" s="9"/>
      <c r="O326" s="9">
        <f>SUM([1]BASE!$J326:$N326)</f>
        <v>0</v>
      </c>
      <c r="P326" s="9"/>
      <c r="Q326" s="9">
        <f>[1]BASE!$O326-[1]BASE!$P326</f>
        <v>0</v>
      </c>
      <c r="R326" s="9" t="s">
        <v>224</v>
      </c>
      <c r="S326" s="9"/>
      <c r="T326" s="11"/>
      <c r="U326" s="9"/>
      <c r="V326" s="9"/>
      <c r="W326" s="9"/>
      <c r="X326" s="6"/>
    </row>
    <row r="327" spans="3:24" x14ac:dyDescent="0.3">
      <c r="C327" s="11"/>
      <c r="D327" s="13"/>
      <c r="E327" s="14"/>
      <c r="F327" s="9"/>
      <c r="G327" s="9"/>
      <c r="H327" s="9"/>
      <c r="I327" s="9"/>
      <c r="J327" s="9"/>
      <c r="K327" s="9"/>
      <c r="L327" s="9"/>
      <c r="M327" s="9"/>
      <c r="N327" s="9"/>
      <c r="O327" s="9">
        <f>SUM([1]BASE!$J327:$N327)</f>
        <v>0</v>
      </c>
      <c r="P327" s="9"/>
      <c r="Q327" s="9">
        <f>[1]BASE!$O327-[1]BASE!$P327</f>
        <v>0</v>
      </c>
      <c r="R327" s="9" t="s">
        <v>224</v>
      </c>
      <c r="S327" s="9"/>
      <c r="T327" s="11"/>
      <c r="U327" s="9"/>
      <c r="V327" s="9"/>
      <c r="W327" s="9"/>
      <c r="X327" s="6"/>
    </row>
    <row r="328" spans="3:24" x14ac:dyDescent="0.3">
      <c r="C328" s="18"/>
      <c r="D328" s="9"/>
      <c r="E328" s="14"/>
      <c r="F328" s="9"/>
      <c r="G328" s="9"/>
      <c r="H328" s="9"/>
      <c r="I328" s="9"/>
      <c r="J328" s="9"/>
      <c r="K328" s="9"/>
      <c r="L328" s="9"/>
      <c r="M328" s="9"/>
      <c r="N328" s="9"/>
      <c r="O328" s="9">
        <f>SUM([1]BASE!$J328:$N328)</f>
        <v>0</v>
      </c>
      <c r="P328" s="9"/>
      <c r="Q328" s="9">
        <f>[1]BASE!$O328-[1]BASE!$P328</f>
        <v>0</v>
      </c>
      <c r="R328" s="9" t="s">
        <v>224</v>
      </c>
      <c r="S328" s="9"/>
      <c r="T328" s="11"/>
      <c r="U328" s="9"/>
      <c r="V328" s="9"/>
      <c r="W328" s="9"/>
      <c r="X328" s="6"/>
    </row>
    <row r="329" spans="3:24" x14ac:dyDescent="0.3">
      <c r="C329" s="11"/>
      <c r="D329" s="13"/>
      <c r="E329" s="14"/>
      <c r="F329" s="9"/>
      <c r="G329" s="9"/>
      <c r="H329" s="9"/>
      <c r="I329" s="9"/>
      <c r="J329" s="9"/>
      <c r="K329" s="9"/>
      <c r="L329" s="9"/>
      <c r="M329" s="9"/>
      <c r="N329" s="9"/>
      <c r="O329" s="9">
        <f>SUM([1]BASE!$J329:$N329)</f>
        <v>0</v>
      </c>
      <c r="P329" s="9"/>
      <c r="Q329" s="9">
        <f>[1]BASE!$O329-[1]BASE!$P329</f>
        <v>0</v>
      </c>
      <c r="R329" s="9" t="s">
        <v>224</v>
      </c>
      <c r="S329" s="9"/>
      <c r="T329" s="11"/>
      <c r="U329" s="9"/>
      <c r="V329" s="9"/>
      <c r="W329" s="9"/>
      <c r="X329" s="6"/>
    </row>
    <row r="330" spans="3:24" x14ac:dyDescent="0.3">
      <c r="C330" s="18"/>
      <c r="D330" s="9"/>
      <c r="E330" s="14"/>
      <c r="F330" s="9"/>
      <c r="G330" s="9"/>
      <c r="H330" s="9"/>
      <c r="I330" s="9"/>
      <c r="J330" s="9"/>
      <c r="K330" s="9"/>
      <c r="L330" s="9"/>
      <c r="M330" s="9"/>
      <c r="N330" s="9"/>
      <c r="O330" s="9">
        <f>SUM([1]BASE!$J330:$N330)</f>
        <v>0</v>
      </c>
      <c r="P330" s="9"/>
      <c r="Q330" s="9">
        <f>[1]BASE!$O330-[1]BASE!$P330</f>
        <v>0</v>
      </c>
      <c r="R330" s="9" t="s">
        <v>224</v>
      </c>
      <c r="S330" s="9"/>
      <c r="T330" s="11"/>
      <c r="U330" s="9"/>
      <c r="V330" s="9"/>
      <c r="W330" s="9"/>
      <c r="X330" s="6"/>
    </row>
    <row r="331" spans="3:24" x14ac:dyDescent="0.3">
      <c r="C331" s="11"/>
      <c r="D331" s="13"/>
      <c r="E331" s="14"/>
      <c r="F331" s="9"/>
      <c r="G331" s="9"/>
      <c r="H331" s="9"/>
      <c r="I331" s="9"/>
      <c r="J331" s="9"/>
      <c r="K331" s="9"/>
      <c r="L331" s="9"/>
      <c r="M331" s="9"/>
      <c r="N331" s="9"/>
      <c r="O331" s="9">
        <f>SUM([1]BASE!$J331:$N331)</f>
        <v>0</v>
      </c>
      <c r="P331" s="9"/>
      <c r="Q331" s="9">
        <f>[1]BASE!$O331-[1]BASE!$P331</f>
        <v>0</v>
      </c>
      <c r="R331" s="9" t="s">
        <v>224</v>
      </c>
      <c r="S331" s="9"/>
      <c r="T331" s="11"/>
      <c r="U331" s="9"/>
      <c r="V331" s="9"/>
      <c r="W331" s="9"/>
      <c r="X331" s="6"/>
    </row>
    <row r="332" spans="3:24" x14ac:dyDescent="0.3">
      <c r="C332" s="18"/>
      <c r="D332" s="9"/>
      <c r="E332" s="14"/>
      <c r="F332" s="9"/>
      <c r="G332" s="9"/>
      <c r="H332" s="9"/>
      <c r="I332" s="9"/>
      <c r="J332" s="9"/>
      <c r="K332" s="9"/>
      <c r="L332" s="9"/>
      <c r="M332" s="9"/>
      <c r="N332" s="9"/>
      <c r="O332" s="9">
        <f>SUM([1]BASE!$J332:$N332)</f>
        <v>0</v>
      </c>
      <c r="P332" s="9"/>
      <c r="Q332" s="9">
        <f>[1]BASE!$O332-[1]BASE!$P332</f>
        <v>0</v>
      </c>
      <c r="R332" s="9" t="s">
        <v>224</v>
      </c>
      <c r="S332" s="9"/>
      <c r="T332" s="11"/>
      <c r="U332" s="9"/>
      <c r="V332" s="9"/>
      <c r="W332" s="9"/>
      <c r="X332" s="6"/>
    </row>
    <row r="333" spans="3:24" x14ac:dyDescent="0.3">
      <c r="C333" s="11"/>
      <c r="D333" s="13"/>
      <c r="E333" s="14"/>
      <c r="F333" s="9"/>
      <c r="G333" s="9"/>
      <c r="H333" s="9"/>
      <c r="I333" s="9"/>
      <c r="J333" s="9"/>
      <c r="K333" s="9"/>
      <c r="L333" s="9"/>
      <c r="M333" s="9"/>
      <c r="N333" s="9"/>
      <c r="O333" s="9">
        <f>SUM([1]BASE!$J333:$N333)</f>
        <v>0</v>
      </c>
      <c r="P333" s="9"/>
      <c r="Q333" s="9">
        <f>[1]BASE!$O333-[1]BASE!$P333</f>
        <v>0</v>
      </c>
      <c r="R333" s="9" t="s">
        <v>224</v>
      </c>
      <c r="S333" s="9"/>
      <c r="T333" s="11"/>
      <c r="U333" s="9"/>
      <c r="V333" s="9"/>
      <c r="W333" s="9"/>
      <c r="X333" s="6"/>
    </row>
    <row r="334" spans="3:24" x14ac:dyDescent="0.3">
      <c r="C334" s="18"/>
      <c r="D334" s="9"/>
      <c r="E334" s="14"/>
      <c r="F334" s="9"/>
      <c r="G334" s="9"/>
      <c r="H334" s="9"/>
      <c r="I334" s="9"/>
      <c r="J334" s="9"/>
      <c r="K334" s="9"/>
      <c r="L334" s="9"/>
      <c r="M334" s="9"/>
      <c r="N334" s="9"/>
      <c r="O334" s="9">
        <f>SUM([1]BASE!$J334:$N334)</f>
        <v>0</v>
      </c>
      <c r="P334" s="9"/>
      <c r="Q334" s="9">
        <f>[1]BASE!$O334-[1]BASE!$P334</f>
        <v>0</v>
      </c>
      <c r="R334" s="9" t="s">
        <v>224</v>
      </c>
      <c r="S334" s="9"/>
      <c r="T334" s="11"/>
      <c r="U334" s="9"/>
      <c r="V334" s="9"/>
      <c r="W334" s="9"/>
      <c r="X334" s="6"/>
    </row>
    <row r="335" spans="3:24" x14ac:dyDescent="0.3">
      <c r="C335" s="11"/>
      <c r="D335" s="13"/>
      <c r="E335" s="14"/>
      <c r="F335" s="9"/>
      <c r="G335" s="9"/>
      <c r="H335" s="9"/>
      <c r="I335" s="9"/>
      <c r="J335" s="9"/>
      <c r="K335" s="9"/>
      <c r="L335" s="9"/>
      <c r="M335" s="9"/>
      <c r="N335" s="9"/>
      <c r="O335" s="9">
        <f>SUM([1]BASE!$J335:$N335)</f>
        <v>0</v>
      </c>
      <c r="P335" s="9"/>
      <c r="Q335" s="9">
        <f>[1]BASE!$O335-[1]BASE!$P335</f>
        <v>0</v>
      </c>
      <c r="R335" s="9" t="s">
        <v>224</v>
      </c>
      <c r="S335" s="9"/>
      <c r="T335" s="11"/>
      <c r="U335" s="9"/>
      <c r="V335" s="9"/>
      <c r="W335" s="9"/>
      <c r="X335" s="6"/>
    </row>
    <row r="336" spans="3:24" x14ac:dyDescent="0.3">
      <c r="C336" s="18"/>
      <c r="D336" s="9"/>
      <c r="E336" s="14"/>
      <c r="F336" s="9"/>
      <c r="G336" s="9"/>
      <c r="H336" s="9"/>
      <c r="I336" s="9"/>
      <c r="J336" s="9"/>
      <c r="K336" s="9"/>
      <c r="L336" s="9"/>
      <c r="M336" s="9"/>
      <c r="N336" s="9"/>
      <c r="O336" s="9">
        <f>SUM([1]BASE!$J336:$N336)</f>
        <v>0</v>
      </c>
      <c r="P336" s="9"/>
      <c r="Q336" s="9">
        <f>[1]BASE!$O336-[1]BASE!$P336</f>
        <v>0</v>
      </c>
      <c r="R336" s="9" t="s">
        <v>224</v>
      </c>
      <c r="S336" s="9"/>
      <c r="T336" s="11"/>
      <c r="U336" s="9"/>
      <c r="V336" s="9"/>
      <c r="W336" s="9"/>
      <c r="X336" s="6"/>
    </row>
    <row r="337" spans="3:24" x14ac:dyDescent="0.3">
      <c r="C337" s="11"/>
      <c r="D337" s="13"/>
      <c r="E337" s="14"/>
      <c r="F337" s="9"/>
      <c r="G337" s="9"/>
      <c r="H337" s="9"/>
      <c r="I337" s="9"/>
      <c r="J337" s="9"/>
      <c r="K337" s="9"/>
      <c r="L337" s="9"/>
      <c r="M337" s="9"/>
      <c r="N337" s="9"/>
      <c r="O337" s="9">
        <f>SUM([1]BASE!$J337:$N337)</f>
        <v>0</v>
      </c>
      <c r="P337" s="9"/>
      <c r="Q337" s="9">
        <f>[1]BASE!$O337-[1]BASE!$P337</f>
        <v>0</v>
      </c>
      <c r="R337" s="9" t="s">
        <v>224</v>
      </c>
      <c r="S337" s="9"/>
      <c r="T337" s="11"/>
      <c r="U337" s="9"/>
      <c r="V337" s="9"/>
      <c r="W337" s="9"/>
      <c r="X337" s="6"/>
    </row>
    <row r="338" spans="3:24" x14ac:dyDescent="0.3">
      <c r="C338" s="18"/>
      <c r="D338" s="9"/>
      <c r="E338" s="14"/>
      <c r="F338" s="9"/>
      <c r="G338" s="9"/>
      <c r="H338" s="9"/>
      <c r="I338" s="9"/>
      <c r="J338" s="9"/>
      <c r="K338" s="9"/>
      <c r="L338" s="9"/>
      <c r="M338" s="9"/>
      <c r="N338" s="9"/>
      <c r="O338" s="9">
        <f>SUM([1]BASE!$J338:$N338)</f>
        <v>0</v>
      </c>
      <c r="P338" s="9"/>
      <c r="Q338" s="9">
        <f>[1]BASE!$O338-[1]BASE!$P338</f>
        <v>0</v>
      </c>
      <c r="R338" s="9" t="s">
        <v>224</v>
      </c>
      <c r="S338" s="9"/>
      <c r="T338" s="11"/>
      <c r="U338" s="9"/>
      <c r="V338" s="9"/>
      <c r="W338" s="9"/>
    </row>
    <row r="339" spans="3:24" x14ac:dyDescent="0.3">
      <c r="C339" s="11"/>
      <c r="D339" s="13"/>
      <c r="E339" s="14"/>
      <c r="F339" s="9"/>
      <c r="G339" s="9"/>
      <c r="H339" s="9"/>
      <c r="I339" s="9"/>
      <c r="J339" s="9"/>
      <c r="K339" s="9"/>
      <c r="L339" s="9"/>
      <c r="M339" s="9"/>
      <c r="N339" s="9"/>
      <c r="O339" s="9">
        <f>SUM([1]BASE!$J339:$N339)</f>
        <v>0</v>
      </c>
      <c r="P339" s="9"/>
      <c r="Q339" s="9">
        <f>[1]BASE!$O339-[1]BASE!$P339</f>
        <v>0</v>
      </c>
      <c r="R339" s="9" t="s">
        <v>224</v>
      </c>
      <c r="S339" s="9"/>
      <c r="T339" s="11"/>
      <c r="U339" s="9"/>
      <c r="V339" s="9"/>
      <c r="W339" s="9"/>
    </row>
    <row r="340" spans="3:24" x14ac:dyDescent="0.3">
      <c r="C340" s="18"/>
      <c r="D340" s="9"/>
      <c r="E340" s="14"/>
      <c r="F340" s="9"/>
      <c r="G340" s="9"/>
      <c r="H340" s="9"/>
      <c r="I340" s="9"/>
      <c r="J340" s="9"/>
      <c r="K340" s="9"/>
      <c r="L340" s="9"/>
      <c r="M340" s="9"/>
      <c r="N340" s="9"/>
      <c r="O340" s="9">
        <f>SUM([1]BASE!$J340:$N340)</f>
        <v>0</v>
      </c>
      <c r="P340" s="9"/>
      <c r="Q340" s="9">
        <f>[1]BASE!$O340-[1]BASE!$P340</f>
        <v>0</v>
      </c>
      <c r="R340" s="9" t="s">
        <v>224</v>
      </c>
      <c r="S340" s="9"/>
      <c r="T340" s="11"/>
      <c r="U340" s="9"/>
      <c r="V340" s="9"/>
      <c r="W340" s="9"/>
    </row>
    <row r="341" spans="3:24" x14ac:dyDescent="0.3">
      <c r="C341" s="11"/>
      <c r="D341" s="13"/>
      <c r="E341" s="14"/>
      <c r="F341" s="9"/>
      <c r="G341" s="9"/>
      <c r="H341" s="9"/>
      <c r="I341" s="9"/>
      <c r="J341" s="9"/>
      <c r="K341" s="9"/>
      <c r="L341" s="9"/>
      <c r="M341" s="9"/>
      <c r="N341" s="9"/>
      <c r="O341" s="9">
        <f>SUM([1]BASE!$J341:$N341)</f>
        <v>0</v>
      </c>
      <c r="P341" s="9"/>
      <c r="Q341" s="9">
        <f>[1]BASE!$O341-[1]BASE!$P341</f>
        <v>0</v>
      </c>
      <c r="R341" s="9" t="s">
        <v>224</v>
      </c>
      <c r="S341" s="9"/>
      <c r="T341" s="11"/>
      <c r="U341" s="9"/>
      <c r="V341" s="9"/>
      <c r="W341" s="9"/>
    </row>
    <row r="342" spans="3:24" x14ac:dyDescent="0.3">
      <c r="C342" s="18"/>
      <c r="D342" s="9"/>
      <c r="E342" s="14"/>
      <c r="F342" s="9"/>
      <c r="G342" s="9"/>
      <c r="H342" s="9"/>
      <c r="I342" s="9"/>
      <c r="J342" s="9"/>
      <c r="K342" s="9"/>
      <c r="L342" s="9"/>
      <c r="M342" s="9"/>
      <c r="N342" s="9"/>
      <c r="O342" s="9">
        <f>SUM([1]BASE!$J342:$N342)</f>
        <v>0</v>
      </c>
      <c r="P342" s="9"/>
      <c r="Q342" s="9">
        <f>[1]BASE!$O342-[1]BASE!$P342</f>
        <v>0</v>
      </c>
      <c r="R342" s="9" t="s">
        <v>224</v>
      </c>
      <c r="S342" s="9"/>
      <c r="T342" s="11"/>
      <c r="U342" s="9"/>
      <c r="V342" s="9"/>
      <c r="W342" s="9"/>
    </row>
    <row r="343" spans="3:24" x14ac:dyDescent="0.3">
      <c r="C343" s="11"/>
      <c r="D343" s="13"/>
      <c r="E343" s="14"/>
      <c r="F343" s="9"/>
      <c r="G343" s="9"/>
      <c r="H343" s="9"/>
      <c r="I343" s="9"/>
      <c r="J343" s="9"/>
      <c r="K343" s="9"/>
      <c r="L343" s="9"/>
      <c r="M343" s="9"/>
      <c r="N343" s="9"/>
      <c r="O343" s="9">
        <f>SUM([1]BASE!$J343:$N343)</f>
        <v>0</v>
      </c>
      <c r="P343" s="9"/>
      <c r="Q343" s="9">
        <f>[1]BASE!$O343-[1]BASE!$P343</f>
        <v>0</v>
      </c>
      <c r="R343" s="9" t="s">
        <v>224</v>
      </c>
      <c r="S343" s="9"/>
      <c r="T343" s="11"/>
      <c r="U343" s="9"/>
      <c r="V343" s="9"/>
      <c r="W343" s="9"/>
    </row>
    <row r="344" spans="3:24" x14ac:dyDescent="0.3">
      <c r="D344" s="7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8"/>
      <c r="V344" s="8"/>
      <c r="W344" s="8"/>
    </row>
    <row r="345" spans="3:24" x14ac:dyDescent="0.3">
      <c r="D345" s="7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8"/>
      <c r="V345" s="8"/>
      <c r="W345" s="8"/>
    </row>
    <row r="346" spans="3:24" x14ac:dyDescent="0.3">
      <c r="D346" s="7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8"/>
      <c r="V346" s="8"/>
      <c r="W346" s="8"/>
    </row>
  </sheetData>
  <mergeCells count="1">
    <mergeCell ref="C1:D1"/>
  </mergeCells>
  <phoneticPr fontId="1" type="noConversion"/>
  <conditionalFormatting sqref="C344:C1048576 C1:C3">
    <cfRule type="duplicateValues" dxfId="7" priority="4"/>
    <cfRule type="duplicateValues" dxfId="6" priority="6"/>
  </conditionalFormatting>
  <conditionalFormatting sqref="D3">
    <cfRule type="duplicateValues" dxfId="5" priority="114"/>
  </conditionalFormatting>
  <conditionalFormatting sqref="C4:C343">
    <cfRule type="expression" dxfId="4" priority="1">
      <formula>COUNTIF(A:A,A4)&gt;1</formula>
    </cfRule>
  </conditionalFormatting>
  <conditionalFormatting sqref="D4:D343">
    <cfRule type="expression" dxfId="3" priority="2">
      <formula>COUNTIF($D$2:$D$99,D4)&gt;1</formula>
    </cfRule>
  </conditionalFormatting>
  <conditionalFormatting sqref="Q4:Q343">
    <cfRule type="cellIs" dxfId="2" priority="3" operator="lessThan">
      <formula>10000</formula>
    </cfRule>
  </conditionalFormatting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A12DE-D3A5-481D-85AC-CE985CCEF7D0}">
  <sheetPr codeName="Hoja2"/>
  <dimension ref="C5:E37"/>
  <sheetViews>
    <sheetView topLeftCell="A4" workbookViewId="0">
      <selection activeCell="C30" sqref="C30"/>
    </sheetView>
  </sheetViews>
  <sheetFormatPr baseColWidth="10" defaultRowHeight="14.4" x14ac:dyDescent="0.3"/>
  <cols>
    <col min="3" max="3" width="25.88671875" customWidth="1"/>
  </cols>
  <sheetData>
    <row r="5" spans="3:5" x14ac:dyDescent="0.3">
      <c r="C5" t="s">
        <v>21</v>
      </c>
    </row>
    <row r="6" spans="3:5" x14ac:dyDescent="0.3">
      <c r="C6" t="s">
        <v>27</v>
      </c>
      <c r="E6" t="s">
        <v>22</v>
      </c>
    </row>
    <row r="7" spans="3:5" x14ac:dyDescent="0.3">
      <c r="C7" t="s">
        <v>28</v>
      </c>
      <c r="E7" t="s">
        <v>23</v>
      </c>
    </row>
    <row r="8" spans="3:5" x14ac:dyDescent="0.3">
      <c r="C8" t="s">
        <v>29</v>
      </c>
    </row>
    <row r="9" spans="3:5" x14ac:dyDescent="0.3">
      <c r="C9" t="s">
        <v>30</v>
      </c>
    </row>
    <row r="10" spans="3:5" x14ac:dyDescent="0.3">
      <c r="C10" t="s">
        <v>31</v>
      </c>
    </row>
    <row r="11" spans="3:5" x14ac:dyDescent="0.3">
      <c r="C11" t="s">
        <v>32</v>
      </c>
    </row>
    <row r="12" spans="3:5" x14ac:dyDescent="0.3">
      <c r="C12" t="s">
        <v>33</v>
      </c>
    </row>
    <row r="13" spans="3:5" x14ac:dyDescent="0.3">
      <c r="C13" t="s">
        <v>34</v>
      </c>
    </row>
    <row r="14" spans="3:5" x14ac:dyDescent="0.3">
      <c r="C14" t="s">
        <v>35</v>
      </c>
    </row>
    <row r="15" spans="3:5" x14ac:dyDescent="0.3">
      <c r="C15" t="s">
        <v>36</v>
      </c>
    </row>
    <row r="16" spans="3:5" x14ac:dyDescent="0.3">
      <c r="C16" t="s">
        <v>37</v>
      </c>
    </row>
    <row r="17" spans="3:3" x14ac:dyDescent="0.3">
      <c r="C17" t="s">
        <v>38</v>
      </c>
    </row>
    <row r="18" spans="3:3" x14ac:dyDescent="0.3">
      <c r="C18" t="s">
        <v>39</v>
      </c>
    </row>
    <row r="19" spans="3:3" x14ac:dyDescent="0.3">
      <c r="C19" t="s">
        <v>41</v>
      </c>
    </row>
    <row r="20" spans="3:3" x14ac:dyDescent="0.3">
      <c r="C20" t="s">
        <v>40</v>
      </c>
    </row>
    <row r="21" spans="3:3" x14ac:dyDescent="0.3">
      <c r="C21" t="s">
        <v>48</v>
      </c>
    </row>
    <row r="22" spans="3:3" x14ac:dyDescent="0.3">
      <c r="C22" t="s">
        <v>49</v>
      </c>
    </row>
    <row r="23" spans="3:3" x14ac:dyDescent="0.3">
      <c r="C23" t="s">
        <v>50</v>
      </c>
    </row>
    <row r="24" spans="3:3" x14ac:dyDescent="0.3">
      <c r="C24" t="s">
        <v>51</v>
      </c>
    </row>
    <row r="25" spans="3:3" x14ac:dyDescent="0.3">
      <c r="C25" t="s">
        <v>52</v>
      </c>
    </row>
    <row r="26" spans="3:3" x14ac:dyDescent="0.3">
      <c r="C26" t="s">
        <v>60</v>
      </c>
    </row>
    <row r="27" spans="3:3" x14ac:dyDescent="0.3">
      <c r="C27" t="s">
        <v>61</v>
      </c>
    </row>
    <row r="28" spans="3:3" x14ac:dyDescent="0.3">
      <c r="C28" t="s">
        <v>62</v>
      </c>
    </row>
    <row r="29" spans="3:3" x14ac:dyDescent="0.3">
      <c r="C29" t="s">
        <v>89</v>
      </c>
    </row>
    <row r="30" spans="3:3" x14ac:dyDescent="0.3">
      <c r="C30" t="s">
        <v>90</v>
      </c>
    </row>
    <row r="31" spans="3:3" x14ac:dyDescent="0.3">
      <c r="C31" t="s">
        <v>91</v>
      </c>
    </row>
    <row r="32" spans="3:3" x14ac:dyDescent="0.3">
      <c r="C32" t="s">
        <v>92</v>
      </c>
    </row>
    <row r="33" spans="3:3" x14ac:dyDescent="0.3">
      <c r="C33" t="s">
        <v>93</v>
      </c>
    </row>
    <row r="34" spans="3:3" x14ac:dyDescent="0.3">
      <c r="C34" t="s">
        <v>94</v>
      </c>
    </row>
    <row r="35" spans="3:3" x14ac:dyDescent="0.3">
      <c r="C35" t="s">
        <v>95</v>
      </c>
    </row>
    <row r="36" spans="3:3" x14ac:dyDescent="0.3">
      <c r="C36" t="s">
        <v>96</v>
      </c>
    </row>
    <row r="37" spans="3:3" x14ac:dyDescent="0.3">
      <c r="C37" t="s">
        <v>97</v>
      </c>
    </row>
  </sheetData>
  <conditionalFormatting sqref="C1:C1048576">
    <cfRule type="duplicateValues" dxfId="1" priority="1"/>
    <cfRule type="duplicateValues" dxfId="0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BASE</vt:lpstr>
      <vt:lpstr>CONVENIOS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Beli Plaza</cp:lastModifiedBy>
  <dcterms:created xsi:type="dcterms:W3CDTF">2025-09-29T20:20:36Z</dcterms:created>
  <dcterms:modified xsi:type="dcterms:W3CDTF">2026-06-16T15:36:41Z</dcterms:modified>
</cp:coreProperties>
</file>